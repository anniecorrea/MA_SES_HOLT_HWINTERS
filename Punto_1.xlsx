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e\Desktop\"/>
    </mc:Choice>
  </mc:AlternateContent>
  <xr:revisionPtr revIDLastSave="0" documentId="13_ncr:1_{64096457-5AE2-48AD-BEAF-6A30C3C609CD}" xr6:coauthVersionLast="47" xr6:coauthVersionMax="47" xr10:uidLastSave="{00000000-0000-0000-0000-000000000000}"/>
  <bookViews>
    <workbookView xWindow="-108" yWindow="-108" windowWidth="23256" windowHeight="12456" activeTab="4" xr2:uid="{C2ACDC49-90DA-4BB1-B6FC-776AEAA701E0}"/>
  </bookViews>
  <sheets>
    <sheet name="MA" sheetId="1" r:id="rId1"/>
    <sheet name="SES" sheetId="2" r:id="rId2"/>
    <sheet name="HOLT" sheetId="3" r:id="rId3"/>
    <sheet name="H-WINTERS" sheetId="4" r:id="rId4"/>
    <sheet name="COMPARACIÓN" sheetId="5" r:id="rId5"/>
    <sheet name="EDA" sheetId="6" r:id="rId6"/>
  </sheets>
  <definedNames>
    <definedName name="solver_adj" localSheetId="2" hidden="1">HOLT!$K$2:$L$2</definedName>
    <definedName name="solver_adj" localSheetId="3" hidden="1">'H-WINTERS'!$O$3:$Q$3</definedName>
    <definedName name="solver_adj" localSheetId="1" hidden="1">SES!$E$2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2" hidden="1">HOLT!$K$2:$L$2</definedName>
    <definedName name="solver_lhs1" localSheetId="3" hidden="1">'H-WINTERS'!$O$3:$Q$3</definedName>
    <definedName name="solver_lhs1" localSheetId="1" hidden="1">SES!$E$2</definedName>
    <definedName name="solver_lhs2" localSheetId="2" hidden="1">HOLT!$K$2:$L$2</definedName>
    <definedName name="solver_lhs2" localSheetId="3" hidden="1">'H-WINTERS'!$O$3:$Q$3</definedName>
    <definedName name="solver_lhs2" localSheetId="1" hidden="1">SES!$E$2</definedName>
    <definedName name="solver_lhs3" localSheetId="2" hidden="1">HOLT!$L$2</definedName>
    <definedName name="solver_lhs4" localSheetId="2" hidden="1">HOLT!$L$2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2" hidden="1">2</definedName>
    <definedName name="solver_num" localSheetId="3" hidden="1">2</definedName>
    <definedName name="solver_num" localSheetId="1" hidden="1">2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2" hidden="1">HOLT!$I$2</definedName>
    <definedName name="solver_opt" localSheetId="3" hidden="1">'H-WINTERS'!$L$3</definedName>
    <definedName name="solver_opt" localSheetId="1" hidden="1">SES!$F$2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2" hidden="1">1</definedName>
    <definedName name="solver_rel1" localSheetId="3" hidden="1">1</definedName>
    <definedName name="solver_rel1" localSheetId="1" hidden="1">1</definedName>
    <definedName name="solver_rel2" localSheetId="2" hidden="1">3</definedName>
    <definedName name="solver_rel2" localSheetId="3" hidden="1">3</definedName>
    <definedName name="solver_rel2" localSheetId="1" hidden="1">3</definedName>
    <definedName name="solver_rel3" localSheetId="2" hidden="1">1</definedName>
    <definedName name="solver_rel4" localSheetId="2" hidden="1">3</definedName>
    <definedName name="solver_rhs1" localSheetId="2" hidden="1">1</definedName>
    <definedName name="solver_rhs1" localSheetId="3" hidden="1">1</definedName>
    <definedName name="solver_rhs1" localSheetId="1" hidden="1">1</definedName>
    <definedName name="solver_rhs2" localSheetId="2" hidden="1">0</definedName>
    <definedName name="solver_rhs2" localSheetId="3" hidden="1">0</definedName>
    <definedName name="solver_rhs2" localSheetId="1" hidden="1">0</definedName>
    <definedName name="solver_rhs3" localSheetId="2" hidden="1">1</definedName>
    <definedName name="solver_rhs4" localSheetId="2" hidden="1">0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2" hidden="1">2</definedName>
    <definedName name="solver_typ" localSheetId="3" hidden="1">2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D10" i="4"/>
  <c r="C10" i="4"/>
  <c r="G11" i="4"/>
  <c r="G30" i="4"/>
  <c r="G29" i="4"/>
  <c r="G27" i="4"/>
  <c r="K4" i="5"/>
  <c r="K3" i="5"/>
  <c r="J4" i="5"/>
  <c r="J3" i="5"/>
  <c r="I2" i="5"/>
  <c r="H3" i="5"/>
  <c r="I3" i="5"/>
  <c r="H4" i="5"/>
  <c r="I4" i="5"/>
  <c r="F2" i="5"/>
  <c r="E2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D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E9" i="1"/>
  <c r="O39" i="4"/>
  <c r="B41" i="4" l="1"/>
  <c r="E6" i="4" s="1"/>
  <c r="C38" i="4"/>
  <c r="D38" i="4"/>
  <c r="E38" i="4"/>
  <c r="F38" i="4"/>
  <c r="B38" i="4"/>
  <c r="B39" i="4" l="1"/>
  <c r="B42" i="4"/>
  <c r="C6" i="4" s="1"/>
  <c r="J41" i="4" l="1"/>
  <c r="L41" i="4"/>
  <c r="M41" i="4"/>
  <c r="J42" i="4"/>
  <c r="L42" i="4"/>
  <c r="J39" i="4"/>
  <c r="K39" i="4"/>
  <c r="J40" i="4"/>
  <c r="M39" i="4"/>
  <c r="I39" i="4"/>
  <c r="M40" i="4"/>
  <c r="K41" i="4"/>
  <c r="I42" i="4"/>
  <c r="K42" i="4"/>
  <c r="M42" i="4"/>
  <c r="I40" i="4"/>
  <c r="L39" i="4"/>
  <c r="K40" i="4"/>
  <c r="L40" i="4"/>
  <c r="I41" i="4"/>
  <c r="O40" i="4" l="1"/>
  <c r="O42" i="4"/>
  <c r="O41" i="4"/>
  <c r="O43" i="4" l="1"/>
  <c r="P40" i="4" l="1"/>
  <c r="F4" i="4" s="1"/>
  <c r="P39" i="4"/>
  <c r="P42" i="4"/>
  <c r="F6" i="4" s="1"/>
  <c r="P41" i="4"/>
  <c r="F5" i="4" s="1"/>
  <c r="P43" i="4" l="1"/>
  <c r="F3" i="4"/>
  <c r="C7" i="4" s="1"/>
  <c r="D7" i="4" s="1"/>
  <c r="E7" i="4" l="1"/>
  <c r="C8" i="4" s="1"/>
  <c r="G7" i="4" l="1"/>
  <c r="E8" i="4"/>
  <c r="C9" i="4" s="1"/>
  <c r="D8" i="4"/>
  <c r="H7" i="4" l="1"/>
  <c r="J7" i="4" s="1"/>
  <c r="F4" i="5"/>
  <c r="E9" i="4"/>
  <c r="D9" i="4"/>
  <c r="G8" i="4"/>
  <c r="H8" i="4" l="1"/>
  <c r="J8" i="4" s="1"/>
  <c r="F5" i="5"/>
  <c r="G9" i="4"/>
  <c r="E10" i="4"/>
  <c r="G10" i="4" s="1"/>
  <c r="H10" i="4" l="1"/>
  <c r="J10" i="4" s="1"/>
  <c r="F7" i="5"/>
  <c r="H9" i="4"/>
  <c r="J9" i="4" s="1"/>
  <c r="F6" i="5"/>
  <c r="F10" i="4"/>
  <c r="F7" i="4"/>
  <c r="C11" i="4" s="1"/>
  <c r="F9" i="4"/>
  <c r="F8" i="4"/>
  <c r="D11" i="4" l="1"/>
  <c r="H11" i="4" l="1"/>
  <c r="J11" i="4" s="1"/>
  <c r="F8" i="5"/>
  <c r="C12" i="4"/>
  <c r="E12" i="4" l="1"/>
  <c r="G12" i="4" s="1"/>
  <c r="D12" i="4"/>
  <c r="H12" i="4" l="1"/>
  <c r="J12" i="4" s="1"/>
  <c r="F9" i="5"/>
  <c r="C13" i="4"/>
  <c r="E13" i="4" s="1"/>
  <c r="G13" i="4" s="1"/>
  <c r="H13" i="4" l="1"/>
  <c r="J13" i="4" s="1"/>
  <c r="F10" i="5"/>
  <c r="D13" i="4"/>
  <c r="C14" i="4"/>
  <c r="E14" i="4" s="1"/>
  <c r="G14" i="4" s="1"/>
  <c r="H14" i="4" l="1"/>
  <c r="J14" i="4" s="1"/>
  <c r="F11" i="5"/>
  <c r="D14" i="4"/>
  <c r="F14" i="4" s="1"/>
  <c r="F12" i="4" l="1"/>
  <c r="F11" i="4"/>
  <c r="C15" i="4" s="1"/>
  <c r="D15" i="4" s="1"/>
  <c r="F13" i="4"/>
  <c r="E15" i="4" l="1"/>
  <c r="G15" i="4" s="1"/>
  <c r="H15" i="4" l="1"/>
  <c r="J15" i="4" s="1"/>
  <c r="F12" i="5"/>
  <c r="C16" i="4"/>
  <c r="E16" i="4" s="1"/>
  <c r="G16" i="4" s="1"/>
  <c r="H16" i="4" l="1"/>
  <c r="J16" i="4" s="1"/>
  <c r="F13" i="5"/>
  <c r="D16" i="4"/>
  <c r="C17" i="4"/>
  <c r="E17" i="4" s="1"/>
  <c r="D17" i="4" l="1"/>
  <c r="G17" i="4"/>
  <c r="C18" i="4"/>
  <c r="H17" i="4" l="1"/>
  <c r="J17" i="4" s="1"/>
  <c r="F14" i="5"/>
  <c r="E18" i="4"/>
  <c r="G18" i="4" s="1"/>
  <c r="D18" i="4"/>
  <c r="H18" i="4" l="1"/>
  <c r="J18" i="4" s="1"/>
  <c r="F15" i="5"/>
  <c r="F18" i="4"/>
  <c r="F17" i="4"/>
  <c r="F16" i="4"/>
  <c r="F15" i="4"/>
  <c r="C19" i="4" s="1"/>
  <c r="C4" i="3"/>
  <c r="E19" i="4" l="1"/>
  <c r="D19" i="4"/>
  <c r="G19" i="4" l="1"/>
  <c r="C20" i="4"/>
  <c r="H19" i="4" l="1"/>
  <c r="J19" i="4" s="1"/>
  <c r="F16" i="5"/>
  <c r="D20" i="4"/>
  <c r="E20" i="4"/>
  <c r="G20" i="4" l="1"/>
  <c r="C21" i="4"/>
  <c r="H20" i="4" l="1"/>
  <c r="J20" i="4" s="1"/>
  <c r="F17" i="5"/>
  <c r="E21" i="4"/>
  <c r="D21" i="4"/>
  <c r="G21" i="4" l="1"/>
  <c r="C22" i="4"/>
  <c r="H21" i="4" l="1"/>
  <c r="J21" i="4" s="1"/>
  <c r="F18" i="5"/>
  <c r="D22" i="4"/>
  <c r="E22" i="4"/>
  <c r="G22" i="4" s="1"/>
  <c r="H22" i="4" l="1"/>
  <c r="J22" i="4" s="1"/>
  <c r="F19" i="5"/>
  <c r="F21" i="4"/>
  <c r="F20" i="4"/>
  <c r="F19" i="4"/>
  <c r="C23" i="4" s="1"/>
  <c r="F22" i="4"/>
  <c r="D23" i="4" l="1"/>
  <c r="E23" i="4"/>
  <c r="G23" i="4" s="1"/>
  <c r="H23" i="4" l="1"/>
  <c r="J23" i="4" s="1"/>
  <c r="F20" i="5"/>
  <c r="C24" i="4"/>
  <c r="E24" i="4" l="1"/>
  <c r="G24" i="4" s="1"/>
  <c r="D24" i="4"/>
  <c r="H24" i="4" l="1"/>
  <c r="J24" i="4" s="1"/>
  <c r="F21" i="5"/>
  <c r="C25" i="4"/>
  <c r="E25" i="4" l="1"/>
  <c r="D25" i="4"/>
  <c r="G25" i="4" l="1"/>
  <c r="C26" i="4"/>
  <c r="H25" i="4" l="1"/>
  <c r="J25" i="4" s="1"/>
  <c r="F22" i="5"/>
  <c r="E26" i="4"/>
  <c r="G26" i="4" s="1"/>
  <c r="D26" i="4"/>
  <c r="H26" i="4" l="1"/>
  <c r="I7" i="4" s="1" a="1"/>
  <c r="I7" i="4" s="1"/>
  <c r="L3" i="4" s="1"/>
  <c r="F23" i="5"/>
  <c r="F26" i="4"/>
  <c r="F27" i="5" s="1"/>
  <c r="F25" i="4"/>
  <c r="F26" i="5" s="1"/>
  <c r="F23" i="4"/>
  <c r="F24" i="5" s="1"/>
  <c r="F24" i="4"/>
  <c r="G28" i="4" s="1"/>
  <c r="F25" i="5" s="1"/>
  <c r="D25" i="1"/>
  <c r="J26" i="4" l="1"/>
  <c r="N3" i="4" s="1"/>
  <c r="M3" i="4"/>
  <c r="L4" i="5" s="1"/>
  <c r="L3" i="5"/>
  <c r="D4" i="3"/>
  <c r="C4" i="2"/>
  <c r="D4" i="2" s="1"/>
  <c r="J10" i="1"/>
  <c r="J11" i="1"/>
  <c r="J12" i="1"/>
  <c r="I8" i="1"/>
  <c r="I9" i="1"/>
  <c r="I10" i="1"/>
  <c r="I23" i="1"/>
  <c r="I24" i="1"/>
  <c r="I7" i="1"/>
  <c r="D9" i="1"/>
  <c r="J9" i="1" s="1"/>
  <c r="D10" i="1"/>
  <c r="D11" i="1"/>
  <c r="D12" i="1"/>
  <c r="D13" i="1"/>
  <c r="J13" i="1" s="1"/>
  <c r="D14" i="1"/>
  <c r="J14" i="1" s="1"/>
  <c r="D15" i="1"/>
  <c r="J15" i="1" s="1"/>
  <c r="D16" i="1"/>
  <c r="J16" i="1" s="1"/>
  <c r="D17" i="1"/>
  <c r="J17" i="1" s="1"/>
  <c r="D18" i="1"/>
  <c r="J18" i="1" s="1"/>
  <c r="D19" i="1"/>
  <c r="J19" i="1" s="1"/>
  <c r="D20" i="1"/>
  <c r="J20" i="1" s="1"/>
  <c r="D21" i="1"/>
  <c r="J21" i="1" s="1"/>
  <c r="D22" i="1"/>
  <c r="J22" i="1" s="1"/>
  <c r="D23" i="1"/>
  <c r="J23" i="1" s="1"/>
  <c r="D24" i="1"/>
  <c r="J24" i="1" s="1"/>
  <c r="D8" i="1"/>
  <c r="J8" i="1" s="1"/>
  <c r="C25" i="1"/>
  <c r="C8" i="1"/>
  <c r="C9" i="1"/>
  <c r="C10" i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17" i="1"/>
  <c r="I1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C24" i="1"/>
  <c r="C7" i="1"/>
  <c r="K19" i="1"/>
  <c r="K24" i="1"/>
  <c r="G25" i="1"/>
  <c r="G12" i="1"/>
  <c r="M12" i="1" s="1"/>
  <c r="G13" i="1"/>
  <c r="M13" i="1" s="1"/>
  <c r="G14" i="1"/>
  <c r="M14" i="1" s="1"/>
  <c r="G15" i="1"/>
  <c r="M15" i="1" s="1"/>
  <c r="G16" i="1"/>
  <c r="M16" i="1" s="1"/>
  <c r="G17" i="1"/>
  <c r="M17" i="1" s="1"/>
  <c r="G18" i="1"/>
  <c r="M18" i="1" s="1"/>
  <c r="G19" i="1"/>
  <c r="M19" i="1" s="1"/>
  <c r="G20" i="1"/>
  <c r="M20" i="1" s="1"/>
  <c r="G21" i="1"/>
  <c r="M21" i="1" s="1"/>
  <c r="G22" i="1"/>
  <c r="M22" i="1" s="1"/>
  <c r="G23" i="1"/>
  <c r="M23" i="1" s="1"/>
  <c r="G24" i="1"/>
  <c r="G11" i="1"/>
  <c r="M11" i="1" s="1"/>
  <c r="F25" i="1"/>
  <c r="F26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L17" i="1" s="1"/>
  <c r="F18" i="1"/>
  <c r="L18" i="1" s="1"/>
  <c r="F19" i="1"/>
  <c r="L19" i="1" s="1"/>
  <c r="F20" i="1"/>
  <c r="L20" i="1" s="1"/>
  <c r="F21" i="1"/>
  <c r="L21" i="1" s="1"/>
  <c r="F22" i="1"/>
  <c r="L22" i="1" s="1"/>
  <c r="F23" i="1"/>
  <c r="L23" i="1" s="1"/>
  <c r="F24" i="1"/>
  <c r="L24" i="1" s="1"/>
  <c r="F10" i="1"/>
  <c r="L10" i="1" s="1"/>
  <c r="E25" i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E20" i="1"/>
  <c r="K20" i="1" s="1"/>
  <c r="E21" i="1"/>
  <c r="K21" i="1" s="1"/>
  <c r="E22" i="1"/>
  <c r="K22" i="1" s="1"/>
  <c r="E23" i="1"/>
  <c r="K23" i="1" s="1"/>
  <c r="E24" i="1"/>
  <c r="K9" i="1"/>
  <c r="P3" i="1" l="1"/>
  <c r="P4" i="1" s="1"/>
  <c r="Q3" i="1"/>
  <c r="Q4" i="1" s="1"/>
  <c r="E26" i="1"/>
  <c r="E27" i="1" s="1"/>
  <c r="E28" i="1" s="1"/>
  <c r="M24" i="1"/>
  <c r="T3" i="1" s="1"/>
  <c r="T4" i="1" s="1"/>
  <c r="G26" i="1"/>
  <c r="G27" i="1" s="1"/>
  <c r="D26" i="1"/>
  <c r="C26" i="1"/>
  <c r="E4" i="3"/>
  <c r="F4" i="3" s="1"/>
  <c r="G4" i="3" s="1"/>
  <c r="C5" i="2"/>
  <c r="S3" i="1"/>
  <c r="S4" i="1" s="1"/>
  <c r="R3" i="1"/>
  <c r="R4" i="1" s="1"/>
  <c r="F27" i="1"/>
  <c r="C27" i="1" l="1"/>
  <c r="D28" i="1" s="1"/>
  <c r="D27" i="1"/>
  <c r="C6" i="2"/>
  <c r="D5" i="2"/>
  <c r="G28" i="1"/>
  <c r="F28" i="1"/>
  <c r="D6" i="2" l="1"/>
  <c r="C7" i="2"/>
  <c r="C28" i="1"/>
  <c r="D7" i="2" l="1"/>
  <c r="C8" i="2"/>
  <c r="D8" i="2" l="1"/>
  <c r="C9" i="2"/>
  <c r="D9" i="2" l="1"/>
  <c r="C10" i="2"/>
  <c r="D10" i="2" l="1"/>
  <c r="C11" i="2"/>
  <c r="D11" i="2" l="1"/>
  <c r="C12" i="2"/>
  <c r="D12" i="2" l="1"/>
  <c r="C13" i="2"/>
  <c r="C14" i="2" l="1"/>
  <c r="D13" i="2"/>
  <c r="C15" i="2" l="1"/>
  <c r="D14" i="2"/>
  <c r="C16" i="2" l="1"/>
  <c r="D15" i="2"/>
  <c r="C17" i="2" l="1"/>
  <c r="D16" i="2"/>
  <c r="D17" i="2" l="1"/>
  <c r="C18" i="2"/>
  <c r="D18" i="2" l="1"/>
  <c r="C19" i="2"/>
  <c r="D19" i="2" l="1"/>
  <c r="C20" i="2"/>
  <c r="C21" i="2" l="1"/>
  <c r="C22" i="2" s="1"/>
  <c r="C23" i="2" s="1"/>
  <c r="D20" i="2"/>
  <c r="D23" i="2" l="1"/>
  <c r="C24" i="2"/>
  <c r="D21" i="2"/>
  <c r="D24" i="2" l="1"/>
  <c r="C25" i="2"/>
  <c r="D22" i="2"/>
  <c r="F2" i="2" s="1"/>
  <c r="G2" i="2" s="1"/>
  <c r="D25" i="2" l="1"/>
  <c r="C26" i="2"/>
  <c r="D26" i="2" s="1"/>
  <c r="C5" i="3"/>
  <c r="D5" i="3" l="1"/>
  <c r="E5" i="3"/>
  <c r="C6" i="3"/>
  <c r="F5" i="3" l="1"/>
  <c r="D6" i="3"/>
  <c r="C7" i="3" s="1"/>
  <c r="D7" i="3" s="1"/>
  <c r="C8" i="3" s="1"/>
  <c r="G5" i="3" l="1"/>
  <c r="E7" i="3"/>
  <c r="F7" i="3" s="1"/>
  <c r="G7" i="3" s="1"/>
  <c r="E6" i="3"/>
  <c r="F6" i="3" s="1"/>
  <c r="G6" i="3" s="1"/>
  <c r="D8" i="3"/>
  <c r="C9" i="3" s="1"/>
  <c r="E8" i="3" l="1"/>
  <c r="F8" i="3" s="1"/>
  <c r="D9" i="3"/>
  <c r="C10" i="3" s="1"/>
  <c r="G8" i="3" l="1"/>
  <c r="E9" i="3"/>
  <c r="F9" i="3" s="1"/>
  <c r="G9" i="3" s="1"/>
  <c r="D10" i="3"/>
  <c r="C11" i="3" s="1"/>
  <c r="E10" i="3" l="1"/>
  <c r="F10" i="3" s="1"/>
  <c r="G10" i="3" s="1"/>
  <c r="D11" i="3"/>
  <c r="C12" i="3" s="1"/>
  <c r="E11" i="3" l="1"/>
  <c r="F11" i="3" s="1"/>
  <c r="G11" i="3" s="1"/>
  <c r="D12" i="3"/>
  <c r="C13" i="3" s="1"/>
  <c r="E12" i="3" l="1"/>
  <c r="F12" i="3" s="1"/>
  <c r="G12" i="3" s="1"/>
  <c r="D13" i="3"/>
  <c r="C14" i="3" s="1"/>
  <c r="E13" i="3" l="1"/>
  <c r="F13" i="3" s="1"/>
  <c r="G13" i="3" s="1"/>
  <c r="D14" i="3"/>
  <c r="C15" i="3" s="1"/>
  <c r="E14" i="3" l="1"/>
  <c r="F14" i="3" s="1"/>
  <c r="G14" i="3" s="1"/>
  <c r="D15" i="3"/>
  <c r="C16" i="3" s="1"/>
  <c r="E15" i="3" l="1"/>
  <c r="F15" i="3" s="1"/>
  <c r="G15" i="3" s="1"/>
  <c r="D16" i="3"/>
  <c r="C17" i="3" s="1"/>
  <c r="E16" i="3" l="1"/>
  <c r="F16" i="3" s="1"/>
  <c r="G16" i="3" s="1"/>
  <c r="D17" i="3"/>
  <c r="C18" i="3" s="1"/>
  <c r="E17" i="3" l="1"/>
  <c r="F17" i="3" s="1"/>
  <c r="G17" i="3" s="1"/>
  <c r="D18" i="3"/>
  <c r="C19" i="3" s="1"/>
  <c r="E18" i="3" l="1"/>
  <c r="F18" i="3" s="1"/>
  <c r="G18" i="3" s="1"/>
  <c r="D19" i="3"/>
  <c r="C20" i="3" s="1"/>
  <c r="E19" i="3" l="1"/>
  <c r="F19" i="3" s="1"/>
  <c r="G19" i="3" s="1"/>
  <c r="D20" i="3"/>
  <c r="C21" i="3" s="1"/>
  <c r="E20" i="3" l="1"/>
  <c r="F20" i="3" s="1"/>
  <c r="G20" i="3" s="1"/>
  <c r="D21" i="3"/>
  <c r="C22" i="3" s="1"/>
  <c r="D22" i="3" l="1"/>
  <c r="E24" i="3" s="1"/>
  <c r="E21" i="3"/>
  <c r="F21" i="3" s="1"/>
  <c r="G21" i="3" s="1"/>
  <c r="E23" i="3" l="1"/>
  <c r="E26" i="3"/>
  <c r="E25" i="3"/>
  <c r="E22" i="3"/>
  <c r="F22" i="3" s="1"/>
  <c r="G22" i="3" l="1"/>
  <c r="I2" i="3" s="1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<sst xmlns="http://schemas.openxmlformats.org/spreadsheetml/2006/main" count="102" uniqueCount="59">
  <si>
    <t>K=2</t>
  </si>
  <si>
    <t>K=3</t>
  </si>
  <si>
    <t>k=4</t>
  </si>
  <si>
    <t>k=5</t>
  </si>
  <si>
    <t>k=6</t>
  </si>
  <si>
    <t>K=5</t>
  </si>
  <si>
    <t>K=6</t>
  </si>
  <si>
    <t>K=4</t>
  </si>
  <si>
    <t>Semana</t>
  </si>
  <si>
    <t>yt</t>
  </si>
  <si>
    <t>Medias moviles</t>
  </si>
  <si>
    <t>Error2</t>
  </si>
  <si>
    <t>Yhat_t</t>
  </si>
  <si>
    <t>alpha</t>
  </si>
  <si>
    <t>MSE</t>
  </si>
  <si>
    <t>RMSE</t>
  </si>
  <si>
    <t>Ft</t>
  </si>
  <si>
    <t>Tt</t>
  </si>
  <si>
    <t>Yhat_t+m</t>
  </si>
  <si>
    <t xml:space="preserve">Error </t>
  </si>
  <si>
    <t>ALPHA</t>
  </si>
  <si>
    <t>GAMMA</t>
  </si>
  <si>
    <t>m</t>
  </si>
  <si>
    <t>St</t>
  </si>
  <si>
    <t>Error</t>
  </si>
  <si>
    <t>BETA</t>
  </si>
  <si>
    <t>Suavización</t>
  </si>
  <si>
    <t xml:space="preserve">Estacionalidad </t>
  </si>
  <si>
    <t xml:space="preserve">Tendencia </t>
  </si>
  <si>
    <t>Mes 1</t>
  </si>
  <si>
    <t>Mes 2</t>
  </si>
  <si>
    <t>Mes 3</t>
  </si>
  <si>
    <t>Mes 4</t>
  </si>
  <si>
    <t>Mes 5</t>
  </si>
  <si>
    <t xml:space="preserve"> promedios</t>
  </si>
  <si>
    <t xml:space="preserve">Promedio Total </t>
  </si>
  <si>
    <t>F0</t>
  </si>
  <si>
    <t>T0</t>
  </si>
  <si>
    <t>Factores estacionales</t>
  </si>
  <si>
    <t xml:space="preserve">Promedios </t>
  </si>
  <si>
    <t xml:space="preserve">Normalización </t>
  </si>
  <si>
    <t>Normalización</t>
  </si>
  <si>
    <t>MAPE</t>
  </si>
  <si>
    <t>|Error/yt|</t>
  </si>
  <si>
    <t>SES</t>
  </si>
  <si>
    <t>HOLT</t>
  </si>
  <si>
    <t>H-WINTERS</t>
  </si>
  <si>
    <t>Medias Moviles</t>
  </si>
  <si>
    <t>Mean</t>
  </si>
  <si>
    <t>Standard Error</t>
  </si>
  <si>
    <t>Median</t>
  </si>
  <si>
    <t>Mode</t>
  </si>
  <si>
    <t>Standard Deviation</t>
  </si>
  <si>
    <t>Sample Variance</t>
  </si>
  <si>
    <t>Range</t>
  </si>
  <si>
    <t>Minimum</t>
  </si>
  <si>
    <t>Maximum</t>
  </si>
  <si>
    <t>Count</t>
  </si>
  <si>
    <t>Y(t)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</si>
</sst>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5">
    <xf numFmtId="0" fontId="0" fillId="0" borderId="0" xfId="0"/>
    <xf numFmtId="0" fontId="0" fillId="0" borderId="5" xfId="0" applyBorder="1"/>
    <xf numFmtId="0" fontId="4" fillId="2" borderId="4" xfId="1" applyFont="1" applyFill="1" applyBorder="1" applyAlignment="1">
      <alignment horizontal="center" vertical="center"/>
    </xf>
    <xf numFmtId="2" fontId="0" fillId="0" borderId="5" xfId="0" applyNumberFormat="1" applyBorder="1"/>
    <xf numFmtId="0" fontId="4" fillId="2" borderId="11" xfId="1" applyFont="1" applyFill="1" applyBorder="1" applyAlignment="1">
      <alignment horizontal="center" vertical="center"/>
    </xf>
    <xf numFmtId="0" fontId="0" fillId="0" borderId="9" xfId="0" applyBorder="1"/>
    <xf numFmtId="0" fontId="4" fillId="0" borderId="11" xfId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2" fontId="0" fillId="0" borderId="17" xfId="0" applyNumberFormat="1" applyBorder="1"/>
    <xf numFmtId="0" fontId="0" fillId="0" borderId="17" xfId="0" applyBorder="1"/>
    <xf numFmtId="2" fontId="0" fillId="0" borderId="18" xfId="0" applyNumberForma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164" fontId="0" fillId="0" borderId="15" xfId="0" applyNumberFormat="1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6" xfId="0" applyFont="1" applyFill="1" applyBorder="1"/>
    <xf numFmtId="0" fontId="2" fillId="2" borderId="0" xfId="0" applyFont="1" applyFill="1"/>
    <xf numFmtId="2" fontId="0" fillId="0" borderId="11" xfId="0" applyNumberFormat="1" applyBorder="1"/>
    <xf numFmtId="2" fontId="0" fillId="0" borderId="22" xfId="0" applyNumberFormat="1" applyBorder="1"/>
    <xf numFmtId="0" fontId="0" fillId="0" borderId="23" xfId="0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0" fillId="0" borderId="24" xfId="0" applyBorder="1"/>
    <xf numFmtId="0" fontId="0" fillId="0" borderId="26" xfId="0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1" xfId="0" applyFont="1" applyFill="1" applyBorder="1"/>
    <xf numFmtId="0" fontId="0" fillId="0" borderId="0" xfId="0" applyAlignment="1">
      <alignment horizontal="center"/>
    </xf>
    <xf numFmtId="0" fontId="0" fillId="3" borderId="5" xfId="0" applyFill="1" applyBorder="1"/>
    <xf numFmtId="0" fontId="0" fillId="3" borderId="17" xfId="0" applyFill="1" applyBorder="1"/>
    <xf numFmtId="2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64" fontId="0" fillId="3" borderId="15" xfId="0" applyNumberFormat="1" applyFill="1" applyBorder="1"/>
    <xf numFmtId="164" fontId="0" fillId="3" borderId="18" xfId="0" applyNumberFormat="1" applyFill="1" applyBorder="1"/>
    <xf numFmtId="0" fontId="4" fillId="2" borderId="25" xfId="1" applyFont="1" applyFill="1" applyBorder="1" applyAlignment="1">
      <alignment vertical="center"/>
    </xf>
    <xf numFmtId="0" fontId="2" fillId="2" borderId="25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/>
    <xf numFmtId="0" fontId="2" fillId="2" borderId="28" xfId="0" applyFont="1" applyFill="1" applyBorder="1"/>
    <xf numFmtId="0" fontId="2" fillId="2" borderId="29" xfId="0" applyFont="1" applyFill="1" applyBorder="1" applyAlignment="1">
      <alignment vertical="center" wrapText="1"/>
    </xf>
    <xf numFmtId="0" fontId="2" fillId="2" borderId="30" xfId="0" applyFont="1" applyFill="1" applyBorder="1"/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9" xfId="0" applyFont="1" applyFill="1" applyBorder="1"/>
    <xf numFmtId="0" fontId="2" fillId="2" borderId="16" xfId="0" applyFont="1" applyFill="1" applyBorder="1"/>
    <xf numFmtId="0" fontId="0" fillId="0" borderId="27" xfId="0" applyBorder="1" applyAlignment="1">
      <alignment horizontal="center"/>
    </xf>
    <xf numFmtId="0" fontId="2" fillId="2" borderId="32" xfId="0" applyFont="1" applyFill="1" applyBorder="1"/>
    <xf numFmtId="0" fontId="2" fillId="2" borderId="33" xfId="0" applyFont="1" applyFill="1" applyBorder="1"/>
    <xf numFmtId="0" fontId="5" fillId="0" borderId="14" xfId="0" applyFont="1" applyBorder="1"/>
    <xf numFmtId="0" fontId="0" fillId="0" borderId="35" xfId="0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14" xfId="0" applyNumberFormat="1" applyBorder="1"/>
    <xf numFmtId="2" fontId="0" fillId="0" borderId="16" xfId="0" applyNumberFormat="1" applyBorder="1"/>
    <xf numFmtId="2" fontId="0" fillId="0" borderId="34" xfId="0" applyNumberFormat="1" applyBorder="1"/>
    <xf numFmtId="2" fontId="0" fillId="3" borderId="17" xfId="0" applyNumberFormat="1" applyFill="1" applyBorder="1"/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2" fontId="0" fillId="3" borderId="15" xfId="0" applyNumberFormat="1" applyFill="1" applyBorder="1"/>
    <xf numFmtId="2" fontId="0" fillId="3" borderId="18" xfId="0" applyNumberFormat="1" applyFill="1" applyBorder="1"/>
    <xf numFmtId="0" fontId="0" fillId="0" borderId="13" xfId="0" applyBorder="1" applyAlignment="1">
      <alignment horizontal="center"/>
    </xf>
    <xf numFmtId="0" fontId="0" fillId="3" borderId="15" xfId="0" applyFill="1" applyBorder="1"/>
    <xf numFmtId="0" fontId="0" fillId="3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4" xfId="0" applyFill="1" applyBorder="1"/>
    <xf numFmtId="0" fontId="0" fillId="2" borderId="16" xfId="0" applyFill="1" applyBorder="1"/>
    <xf numFmtId="0" fontId="6" fillId="0" borderId="36" xfId="0" applyFont="1" applyBorder="1" applyAlignment="1">
      <alignment horizontal="centerContinuous"/>
    </xf>
    <xf numFmtId="165" fontId="0" fillId="0" borderId="2" xfId="0" applyNumberFormat="1" applyBorder="1"/>
    <xf numFmtId="165" fontId="0" fillId="0" borderId="8" xfId="0" applyNumberFormat="1" applyBorder="1"/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2" fontId="0" fillId="3" borderId="14" xfId="0" applyNumberFormat="1" applyFill="1" applyBorder="1"/>
    <xf numFmtId="2" fontId="0" fillId="3" borderId="16" xfId="0" applyNumberFormat="1" applyFill="1" applyBorder="1"/>
  </cellXfs>
  <cellStyles count="2">
    <cellStyle name="Normal" xfId="0" builtinId="0"/>
    <cellStyle name="Normal 2" xfId="1" xr:uid="{470E71F4-B3C6-49AA-ACCE-8935967DA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Pronóstico</a:t>
            </a:r>
            <a:r>
              <a:rPr lang="es-CO" baseline="0"/>
              <a:t> vs Original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3135018188433423E-2"/>
          <c:y val="0.14220943091531946"/>
          <c:w val="0.82052714046042974"/>
          <c:h val="0.76038992621181711"/>
        </c:manualLayout>
      </c:layout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MA!$B$4:$B$28</c:f>
              <c:numCache>
                <c:formatCode>General</c:formatCode>
                <c:ptCount val="25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C-45AC-86E7-51028DDE560F}"/>
            </c:ext>
          </c:extLst>
        </c:ser>
        <c:ser>
          <c:idx val="1"/>
          <c:order val="1"/>
          <c:tx>
            <c:v>K=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MA!$C$4:$C$28</c:f>
              <c:numCache>
                <c:formatCode>General</c:formatCode>
                <c:ptCount val="25"/>
                <c:pt idx="3">
                  <c:v>69</c:v>
                </c:pt>
                <c:pt idx="4">
                  <c:v>64</c:v>
                </c:pt>
                <c:pt idx="5">
                  <c:v>49</c:v>
                </c:pt>
                <c:pt idx="6">
                  <c:v>56.5</c:v>
                </c:pt>
                <c:pt idx="7">
                  <c:v>65.5</c:v>
                </c:pt>
                <c:pt idx="8">
                  <c:v>54</c:v>
                </c:pt>
                <c:pt idx="9">
                  <c:v>60.5</c:v>
                </c:pt>
                <c:pt idx="10">
                  <c:v>76.5</c:v>
                </c:pt>
                <c:pt idx="11">
                  <c:v>53</c:v>
                </c:pt>
                <c:pt idx="12">
                  <c:v>60</c:v>
                </c:pt>
                <c:pt idx="13">
                  <c:v>74</c:v>
                </c:pt>
                <c:pt idx="14">
                  <c:v>62.5</c:v>
                </c:pt>
                <c:pt idx="15">
                  <c:v>54.5</c:v>
                </c:pt>
                <c:pt idx="16">
                  <c:v>59</c:v>
                </c:pt>
                <c:pt idx="17">
                  <c:v>59</c:v>
                </c:pt>
                <c:pt idx="18">
                  <c:v>58</c:v>
                </c:pt>
                <c:pt idx="19">
                  <c:v>60.5</c:v>
                </c:pt>
                <c:pt idx="20">
                  <c:v>51</c:v>
                </c:pt>
                <c:pt idx="21">
                  <c:v>60.5</c:v>
                </c:pt>
                <c:pt idx="22">
                  <c:v>67.75</c:v>
                </c:pt>
                <c:pt idx="23">
                  <c:v>64.125</c:v>
                </c:pt>
                <c:pt idx="24">
                  <c:v>65.9375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C-45AC-86E7-51028DDE560F}"/>
            </c:ext>
          </c:extLst>
        </c:ser>
        <c:ser>
          <c:idx val="2"/>
          <c:order val="2"/>
          <c:tx>
            <c:v>K=3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MA!$D$4:$D$28</c:f>
              <c:numCache>
                <c:formatCode>General</c:formatCode>
                <c:ptCount val="25"/>
                <c:pt idx="4" formatCode="0.00">
                  <c:v>60.333333333333336</c:v>
                </c:pt>
                <c:pt idx="5" formatCode="0.00">
                  <c:v>61</c:v>
                </c:pt>
                <c:pt idx="6" formatCode="0.00">
                  <c:v>52</c:v>
                </c:pt>
                <c:pt idx="7" formatCode="0.00">
                  <c:v>62</c:v>
                </c:pt>
                <c:pt idx="8" formatCode="0.00">
                  <c:v>55.333333333333336</c:v>
                </c:pt>
                <c:pt idx="9" formatCode="0.00">
                  <c:v>64.666666666666671</c:v>
                </c:pt>
                <c:pt idx="10" formatCode="0.00">
                  <c:v>62.666666666666664</c:v>
                </c:pt>
                <c:pt idx="11" formatCode="0.00">
                  <c:v>64</c:v>
                </c:pt>
                <c:pt idx="12" formatCode="0.00">
                  <c:v>62.333333333333336</c:v>
                </c:pt>
                <c:pt idx="13" formatCode="0.00">
                  <c:v>62.333333333333336</c:v>
                </c:pt>
                <c:pt idx="14" formatCode="0.00">
                  <c:v>68.666666666666671</c:v>
                </c:pt>
                <c:pt idx="15" formatCode="0.00">
                  <c:v>58.666666666666664</c:v>
                </c:pt>
                <c:pt idx="16" formatCode="0.00">
                  <c:v>58.666666666666664</c:v>
                </c:pt>
                <c:pt idx="17" formatCode="0.00">
                  <c:v>56.333333333333336</c:v>
                </c:pt>
                <c:pt idx="18" formatCode="0.00">
                  <c:v>61</c:v>
                </c:pt>
                <c:pt idx="19" formatCode="0.00">
                  <c:v>57.333333333333336</c:v>
                </c:pt>
                <c:pt idx="20" formatCode="0.00">
                  <c:v>55.666666666666664</c:v>
                </c:pt>
                <c:pt idx="21" formatCode="0.00">
                  <c:v>59</c:v>
                </c:pt>
                <c:pt idx="22" formatCode="0.00">
                  <c:v>60.5</c:v>
                </c:pt>
                <c:pt idx="23" formatCode="0.00">
                  <c:v>67.75</c:v>
                </c:pt>
                <c:pt idx="24">
                  <c:v>64.125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C-45AC-86E7-51028DDE560F}"/>
            </c:ext>
          </c:extLst>
        </c:ser>
        <c:ser>
          <c:idx val="3"/>
          <c:order val="3"/>
          <c:tx>
            <c:v>K=4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MA!$E$4:$E$28</c:f>
              <c:numCache>
                <c:formatCode>General</c:formatCode>
                <c:ptCount val="25"/>
                <c:pt idx="5">
                  <c:v>59</c:v>
                </c:pt>
                <c:pt idx="6">
                  <c:v>60.25</c:v>
                </c:pt>
                <c:pt idx="7">
                  <c:v>57.25</c:v>
                </c:pt>
                <c:pt idx="8">
                  <c:v>55.25</c:v>
                </c:pt>
                <c:pt idx="9">
                  <c:v>63</c:v>
                </c:pt>
                <c:pt idx="10">
                  <c:v>65.25</c:v>
                </c:pt>
                <c:pt idx="11">
                  <c:v>56.75</c:v>
                </c:pt>
                <c:pt idx="12">
                  <c:v>68.25</c:v>
                </c:pt>
                <c:pt idx="13">
                  <c:v>63.5</c:v>
                </c:pt>
                <c:pt idx="14">
                  <c:v>61.25</c:v>
                </c:pt>
                <c:pt idx="15">
                  <c:v>64.25</c:v>
                </c:pt>
                <c:pt idx="16">
                  <c:v>60.75</c:v>
                </c:pt>
                <c:pt idx="17">
                  <c:v>56.75</c:v>
                </c:pt>
                <c:pt idx="18">
                  <c:v>58.5</c:v>
                </c:pt>
                <c:pt idx="19">
                  <c:v>59.75</c:v>
                </c:pt>
                <c:pt idx="20">
                  <c:v>54.5</c:v>
                </c:pt>
                <c:pt idx="21">
                  <c:v>60.5</c:v>
                </c:pt>
                <c:pt idx="22">
                  <c:v>59.375</c:v>
                </c:pt>
                <c:pt idx="23">
                  <c:v>60.21875</c:v>
                </c:pt>
                <c:pt idx="24">
                  <c:v>63.7734375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BC-45AC-86E7-51028DDE560F}"/>
            </c:ext>
          </c:extLst>
        </c:ser>
        <c:ser>
          <c:idx val="4"/>
          <c:order val="4"/>
          <c:tx>
            <c:v>K=5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MA!$F$4:$F$28</c:f>
              <c:numCache>
                <c:formatCode>General</c:formatCode>
                <c:ptCount val="25"/>
                <c:pt idx="6">
                  <c:v>58.8</c:v>
                </c:pt>
                <c:pt idx="7">
                  <c:v>62.8</c:v>
                </c:pt>
                <c:pt idx="8">
                  <c:v>52.8</c:v>
                </c:pt>
                <c:pt idx="9">
                  <c:v>61.4</c:v>
                </c:pt>
                <c:pt idx="10">
                  <c:v>63.8</c:v>
                </c:pt>
                <c:pt idx="11">
                  <c:v>60</c:v>
                </c:pt>
                <c:pt idx="12">
                  <c:v>61.6</c:v>
                </c:pt>
                <c:pt idx="13">
                  <c:v>68</c:v>
                </c:pt>
                <c:pt idx="14">
                  <c:v>62.4</c:v>
                </c:pt>
                <c:pt idx="15">
                  <c:v>59.2</c:v>
                </c:pt>
                <c:pt idx="16">
                  <c:v>64.8</c:v>
                </c:pt>
                <c:pt idx="17">
                  <c:v>58.8</c:v>
                </c:pt>
                <c:pt idx="18">
                  <c:v>58.4</c:v>
                </c:pt>
                <c:pt idx="19">
                  <c:v>58</c:v>
                </c:pt>
                <c:pt idx="20">
                  <c:v>57</c:v>
                </c:pt>
                <c:pt idx="21">
                  <c:v>58.6</c:v>
                </c:pt>
                <c:pt idx="22">
                  <c:v>60.120000000000005</c:v>
                </c:pt>
                <c:pt idx="23">
                  <c:v>59.144000000000005</c:v>
                </c:pt>
                <c:pt idx="24">
                  <c:v>59.772800000000004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BC-45AC-86E7-51028DDE560F}"/>
            </c:ext>
          </c:extLst>
        </c:ser>
        <c:ser>
          <c:idx val="5"/>
          <c:order val="5"/>
          <c:tx>
            <c:v>K=6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MA!$A$4:$A$28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MA!$G$4:$G$28</c:f>
              <c:numCache>
                <c:formatCode>General</c:formatCode>
                <c:ptCount val="25"/>
                <c:pt idx="7" formatCode="0.0">
                  <c:v>61.166666666666664</c:v>
                </c:pt>
                <c:pt idx="8" formatCode="0.0">
                  <c:v>58.166666666666664</c:v>
                </c:pt>
                <c:pt idx="9" formatCode="0.0">
                  <c:v>58.333333333333336</c:v>
                </c:pt>
                <c:pt idx="10" formatCode="0.0">
                  <c:v>62.333333333333336</c:v>
                </c:pt>
                <c:pt idx="11" formatCode="0.0">
                  <c:v>59.666666666666664</c:v>
                </c:pt>
                <c:pt idx="12" formatCode="0.0">
                  <c:v>63.5</c:v>
                </c:pt>
                <c:pt idx="13" formatCode="0.0">
                  <c:v>62.5</c:v>
                </c:pt>
                <c:pt idx="14" formatCode="0.0">
                  <c:v>66.333333333333329</c:v>
                </c:pt>
                <c:pt idx="15" formatCode="0.0">
                  <c:v>60.5</c:v>
                </c:pt>
                <c:pt idx="16" formatCode="0.0">
                  <c:v>60.5</c:v>
                </c:pt>
                <c:pt idx="17" formatCode="0.0">
                  <c:v>62.5</c:v>
                </c:pt>
                <c:pt idx="18" formatCode="0.0">
                  <c:v>59.833333333333336</c:v>
                </c:pt>
                <c:pt idx="19" formatCode="0.0">
                  <c:v>58</c:v>
                </c:pt>
                <c:pt idx="20" formatCode="0.0">
                  <c:v>56</c:v>
                </c:pt>
                <c:pt idx="21" formatCode="0.0">
                  <c:v>60</c:v>
                </c:pt>
                <c:pt idx="22" formatCode="0.0">
                  <c:v>55.666666666666664</c:v>
                </c:pt>
                <c:pt idx="23" formatCode="0.0">
                  <c:v>59.611111111111114</c:v>
                </c:pt>
                <c:pt idx="24" formatCode="0.0">
                  <c:v>58.712962962962969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BC-45AC-86E7-51028DDE5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482831"/>
        <c:axId val="424483311"/>
      </c:lineChart>
      <c:catAx>
        <c:axId val="42448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4483311"/>
        <c:crosses val="autoZero"/>
        <c:auto val="1"/>
        <c:lblAlgn val="ctr"/>
        <c:lblOffset val="100"/>
        <c:noMultiLvlLbl val="0"/>
      </c:catAx>
      <c:valAx>
        <c:axId val="4244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448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MA!$B$4:$B$24</c15:sqref>
                  </c15:fullRef>
                </c:ext>
              </c:extLst>
              <c:f>MA!$B$4:$B$24</c:f>
              <c:numCache>
                <c:formatCode>General</c:formatCode>
                <c:ptCount val="21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0-429B-862E-0AC8F9A78EB4}"/>
            </c:ext>
          </c:extLst>
        </c:ser>
        <c:ser>
          <c:idx val="1"/>
          <c:order val="1"/>
          <c:tx>
            <c:v>K=4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MA!$E$4:$E$28</c15:sqref>
                  </c15:fullRef>
                </c:ext>
              </c:extLst>
              <c:f>MA!$E$4:$E$27</c:f>
              <c:numCache>
                <c:formatCode>General</c:formatCode>
                <c:ptCount val="24"/>
                <c:pt idx="5">
                  <c:v>59</c:v>
                </c:pt>
                <c:pt idx="6">
                  <c:v>60.25</c:v>
                </c:pt>
                <c:pt idx="7">
                  <c:v>57.25</c:v>
                </c:pt>
                <c:pt idx="8">
                  <c:v>55.25</c:v>
                </c:pt>
                <c:pt idx="9">
                  <c:v>63</c:v>
                </c:pt>
                <c:pt idx="10">
                  <c:v>65.25</c:v>
                </c:pt>
                <c:pt idx="11">
                  <c:v>56.75</c:v>
                </c:pt>
                <c:pt idx="12">
                  <c:v>68.25</c:v>
                </c:pt>
                <c:pt idx="13">
                  <c:v>63.5</c:v>
                </c:pt>
                <c:pt idx="14">
                  <c:v>61.25</c:v>
                </c:pt>
                <c:pt idx="15">
                  <c:v>64.25</c:v>
                </c:pt>
                <c:pt idx="16">
                  <c:v>60.75</c:v>
                </c:pt>
                <c:pt idx="17">
                  <c:v>56.75</c:v>
                </c:pt>
                <c:pt idx="18">
                  <c:v>58.5</c:v>
                </c:pt>
                <c:pt idx="19">
                  <c:v>59.75</c:v>
                </c:pt>
                <c:pt idx="20">
                  <c:v>54.5</c:v>
                </c:pt>
                <c:pt idx="21">
                  <c:v>60.5</c:v>
                </c:pt>
                <c:pt idx="22">
                  <c:v>59.375</c:v>
                </c:pt>
                <c:pt idx="23">
                  <c:v>60.21875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0-429B-862E-0AC8F9A78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624655"/>
        <c:axId val="351627055"/>
      </c:lineChart>
      <c:catAx>
        <c:axId val="35162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1627055"/>
        <c:crosses val="autoZero"/>
        <c:auto val="1"/>
        <c:lblAlgn val="ctr"/>
        <c:lblOffset val="100"/>
        <c:noMultiLvlLbl val="0"/>
      </c:catAx>
      <c:valAx>
        <c:axId val="3516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162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SES!$B$3:$B$22</c:f>
              <c:numCache>
                <c:formatCode>General</c:formatCode>
                <c:ptCount val="20"/>
                <c:pt idx="0">
                  <c:v>53</c:v>
                </c:pt>
                <c:pt idx="1">
                  <c:v>85</c:v>
                </c:pt>
                <c:pt idx="2">
                  <c:v>43</c:v>
                </c:pt>
                <c:pt idx="3">
                  <c:v>55</c:v>
                </c:pt>
                <c:pt idx="4">
                  <c:v>58</c:v>
                </c:pt>
                <c:pt idx="5">
                  <c:v>73</c:v>
                </c:pt>
                <c:pt idx="6">
                  <c:v>35</c:v>
                </c:pt>
                <c:pt idx="7">
                  <c:v>86</c:v>
                </c:pt>
                <c:pt idx="8">
                  <c:v>67</c:v>
                </c:pt>
                <c:pt idx="9">
                  <c:v>39</c:v>
                </c:pt>
                <c:pt idx="10">
                  <c:v>81</c:v>
                </c:pt>
                <c:pt idx="11">
                  <c:v>67</c:v>
                </c:pt>
                <c:pt idx="12">
                  <c:v>58</c:v>
                </c:pt>
                <c:pt idx="13">
                  <c:v>51</c:v>
                </c:pt>
                <c:pt idx="14">
                  <c:v>67</c:v>
                </c:pt>
                <c:pt idx="15">
                  <c:v>51</c:v>
                </c:pt>
                <c:pt idx="16">
                  <c:v>65</c:v>
                </c:pt>
                <c:pt idx="17">
                  <c:v>56</c:v>
                </c:pt>
                <c:pt idx="18">
                  <c:v>46</c:v>
                </c:pt>
                <c:pt idx="1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9-4DC0-A09E-FDDB324DE4AD}"/>
            </c:ext>
          </c:extLst>
        </c:ser>
        <c:ser>
          <c:idx val="1"/>
          <c:order val="1"/>
          <c:tx>
            <c:v>Yhat_t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SES!$C$3:$C$26</c:f>
              <c:numCache>
                <c:formatCode>0.00</c:formatCode>
                <c:ptCount val="24"/>
                <c:pt idx="0" formatCode="General">
                  <c:v>53</c:v>
                </c:pt>
                <c:pt idx="1">
                  <c:v>53</c:v>
                </c:pt>
                <c:pt idx="2">
                  <c:v>55.267740172071953</c:v>
                </c:pt>
                <c:pt idx="3">
                  <c:v>54.398363696798562</c:v>
                </c:pt>
                <c:pt idx="4">
                  <c:v>54.440999784728149</c:v>
                </c:pt>
                <c:pt idx="5">
                  <c:v>54.693215027246424</c:v>
                </c:pt>
                <c:pt idx="6">
                  <c:v>55.990559768002562</c:v>
                </c:pt>
                <c:pt idx="7">
                  <c:v>54.503024279872044</c:v>
                </c:pt>
                <c:pt idx="8">
                  <c:v>56.735116690475451</c:v>
                </c:pt>
                <c:pt idx="9">
                  <c:v>57.462556948057937</c:v>
                </c:pt>
                <c:pt idx="10">
                  <c:v>56.15417313336178</c:v>
                </c:pt>
                <c:pt idx="11">
                  <c:v>57.914919373793651</c:v>
                </c:pt>
                <c:pt idx="12">
                  <c:v>58.558750695748671</c:v>
                </c:pt>
                <c:pt idx="13">
                  <c:v>58.519153777032351</c:v>
                </c:pt>
                <c:pt idx="14">
                  <c:v>57.98629480577727</c:v>
                </c:pt>
                <c:pt idx="15">
                  <c:v>58.625067973532033</c:v>
                </c:pt>
                <c:pt idx="16">
                  <c:v>58.084703193583351</c:v>
                </c:pt>
                <c:pt idx="17">
                  <c:v>58.574768705136847</c:v>
                </c:pt>
                <c:pt idx="18">
                  <c:v>58.392302879310833</c:v>
                </c:pt>
                <c:pt idx="19">
                  <c:v>57.514099033564079</c:v>
                </c:pt>
                <c:pt idx="20">
                  <c:v>58.753270285640909</c:v>
                </c:pt>
                <c:pt idx="21">
                  <c:v>59.904625336829888</c:v>
                </c:pt>
                <c:pt idx="22">
                  <c:v>60.974387447334514</c:v>
                </c:pt>
                <c:pt idx="23">
                  <c:v>61.968338854321892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9-4DC0-A09E-FDDB324DE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519311"/>
        <c:axId val="424532271"/>
      </c:lineChart>
      <c:catAx>
        <c:axId val="42451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4532271"/>
        <c:crosses val="autoZero"/>
        <c:auto val="1"/>
        <c:lblAlgn val="ctr"/>
        <c:lblOffset val="100"/>
        <c:noMultiLvlLbl val="0"/>
      </c:catAx>
      <c:valAx>
        <c:axId val="4245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451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HOLT!$A$2:$A$26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HOLT!$B$2:$B$22</c:f>
              <c:numCache>
                <c:formatCode>General</c:formatCode>
                <c:ptCount val="21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5-4444-8863-874A17017FAE}"/>
            </c:ext>
          </c:extLst>
        </c:ser>
        <c:ser>
          <c:idx val="1"/>
          <c:order val="1"/>
          <c:tx>
            <c:v>Pronostico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HOLT!$A$2:$A$26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HOLT!$E$2:$E$26</c:f>
              <c:numCache>
                <c:formatCode>General</c:formatCode>
                <c:ptCount val="25"/>
                <c:pt idx="2" formatCode="0.00">
                  <c:v>93.769065491830517</c:v>
                </c:pt>
                <c:pt idx="3" formatCode="0.00">
                  <c:v>43.197731306269738</c:v>
                </c:pt>
                <c:pt idx="4" formatCode="0.00">
                  <c:v>49.958144330806356</c:v>
                </c:pt>
                <c:pt idx="5" formatCode="0.00">
                  <c:v>57.131782538440007</c:v>
                </c:pt>
                <c:pt idx="6" formatCode="0.00">
                  <c:v>77.822458607960243</c:v>
                </c:pt>
                <c:pt idx="7" formatCode="0.00">
                  <c:v>30.736223545417616</c:v>
                </c:pt>
                <c:pt idx="8" formatCode="0.00">
                  <c:v>89.732895088488874</c:v>
                </c:pt>
                <c:pt idx="9" formatCode="0.00">
                  <c:v>73.727333095018594</c:v>
                </c:pt>
                <c:pt idx="10" formatCode="0.00">
                  <c:v>32.416568280798046</c:v>
                </c:pt>
                <c:pt idx="11" formatCode="0.00">
                  <c:v>81.933750263888911</c:v>
                </c:pt>
                <c:pt idx="12" formatCode="0.00">
                  <c:v>71.950405606943434</c:v>
                </c:pt>
                <c:pt idx="13" formatCode="0.00">
                  <c:v>56.634956287778941</c:v>
                </c:pt>
                <c:pt idx="14" formatCode="0.00">
                  <c:v>45.762345791997191</c:v>
                </c:pt>
                <c:pt idx="15" formatCode="0.00">
                  <c:v>66.641646642015232</c:v>
                </c:pt>
                <c:pt idx="16" formatCode="0.00">
                  <c:v>49.900065095987628</c:v>
                </c:pt>
                <c:pt idx="17" formatCode="0.00">
                  <c:v>65.427222250994362</c:v>
                </c:pt>
                <c:pt idx="18" formatCode="0.00">
                  <c:v>56.364160812677248</c:v>
                </c:pt>
                <c:pt idx="19" formatCode="0.00">
                  <c:v>41.950549718422941</c:v>
                </c:pt>
                <c:pt idx="20" formatCode="0.00">
                  <c:v>78.277330340553874</c:v>
                </c:pt>
                <c:pt idx="21" formatCode="0.00">
                  <c:v>78.277330340553874</c:v>
                </c:pt>
                <c:pt idx="22" formatCode="0.00">
                  <c:v>87.07090331973609</c:v>
                </c:pt>
                <c:pt idx="23" formatCode="0.00">
                  <c:v>95.864476298918305</c:v>
                </c:pt>
                <c:pt idx="24" formatCode="0.00">
                  <c:v>104.65804927810052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5-4444-8863-874A1701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48303"/>
        <c:axId val="747167"/>
      </c:lineChart>
      <c:catAx>
        <c:axId val="5884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7167"/>
        <c:crosses val="autoZero"/>
        <c:auto val="1"/>
        <c:lblAlgn val="ctr"/>
        <c:lblOffset val="100"/>
        <c:noMultiLvlLbl val="0"/>
      </c:catAx>
      <c:valAx>
        <c:axId val="74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84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Comportamiento</a:t>
            </a:r>
            <a:r>
              <a:rPr lang="es-CO" baseline="0"/>
              <a:t> de la Serie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'H-WINTERS'!$A$6:$A$26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'H-WINTERS'!$B$6:$B$26</c:f>
              <c:numCache>
                <c:formatCode>General</c:formatCode>
                <c:ptCount val="21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6-4388-8BBE-CB8D8405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30943"/>
        <c:axId val="724955039"/>
      </c:lineChart>
      <c:catAx>
        <c:axId val="195730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4955039"/>
        <c:crosses val="autoZero"/>
        <c:auto val="1"/>
        <c:lblAlgn val="ctr"/>
        <c:lblOffset val="100"/>
        <c:noMultiLvlLbl val="0"/>
      </c:catAx>
      <c:valAx>
        <c:axId val="72495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Yt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7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'H-WINTERS'!$A$6:$A$30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'H-WINTERS'!$B$6:$B$26</c:f>
              <c:numCache>
                <c:formatCode>General</c:formatCode>
                <c:ptCount val="21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B-46C5-A5CF-BF051DC7AEA3}"/>
            </c:ext>
          </c:extLst>
        </c:ser>
        <c:ser>
          <c:idx val="1"/>
          <c:order val="1"/>
          <c:tx>
            <c:v>pronostico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'H-WINTERS'!$A$6:$A$30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'H-WINTERS'!$G$6:$G$30</c:f>
              <c:numCache>
                <c:formatCode>0.00</c:formatCode>
                <c:ptCount val="25"/>
                <c:pt idx="1">
                  <c:v>68.253752862790634</c:v>
                </c:pt>
                <c:pt idx="2">
                  <c:v>74.381187058557003</c:v>
                </c:pt>
                <c:pt idx="3">
                  <c:v>60.396087633041567</c:v>
                </c:pt>
                <c:pt idx="4">
                  <c:v>70.256369770295649</c:v>
                </c:pt>
                <c:pt idx="5">
                  <c:v>64.712880515997483</c:v>
                </c:pt>
                <c:pt idx="6">
                  <c:v>68.538487958427936</c:v>
                </c:pt>
                <c:pt idx="7">
                  <c:v>52.40412851421727</c:v>
                </c:pt>
                <c:pt idx="8">
                  <c:v>70.741308462447179</c:v>
                </c:pt>
                <c:pt idx="9">
                  <c:v>67.727845021027932</c:v>
                </c:pt>
                <c:pt idx="10">
                  <c:v>59.603524426402927</c:v>
                </c:pt>
                <c:pt idx="11">
                  <c:v>61.437228399840485</c:v>
                </c:pt>
                <c:pt idx="12">
                  <c:v>74.079700590701705</c:v>
                </c:pt>
                <c:pt idx="13">
                  <c:v>66.899581320962696</c:v>
                </c:pt>
                <c:pt idx="14">
                  <c:v>62.130388358636246</c:v>
                </c:pt>
                <c:pt idx="15">
                  <c:v>58.767474458558368</c:v>
                </c:pt>
                <c:pt idx="16">
                  <c:v>63.943785413141249</c:v>
                </c:pt>
                <c:pt idx="17">
                  <c:v>61.566707428435222</c:v>
                </c:pt>
                <c:pt idx="18">
                  <c:v>59.074709146393857</c:v>
                </c:pt>
                <c:pt idx="19">
                  <c:v>47.02698465364282</c:v>
                </c:pt>
                <c:pt idx="20">
                  <c:v>63.131834620838767</c:v>
                </c:pt>
                <c:pt idx="21">
                  <c:v>59.306018229320856</c:v>
                </c:pt>
                <c:pt idx="22">
                  <c:v>60.210711903829853</c:v>
                </c:pt>
                <c:pt idx="23">
                  <c:v>51.532813234066865</c:v>
                </c:pt>
                <c:pt idx="24">
                  <c:v>62.759518517764562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B-46C5-A5CF-BF051DC7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605951"/>
        <c:axId val="142124431"/>
      </c:lineChart>
      <c:catAx>
        <c:axId val="169860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24431"/>
        <c:crosses val="autoZero"/>
        <c:auto val="1"/>
        <c:lblAlgn val="ctr"/>
        <c:lblOffset val="100"/>
        <c:noMultiLvlLbl val="0"/>
      </c:catAx>
      <c:valAx>
        <c:axId val="14212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86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COMPARACIÓN!$A$3:$A$27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COMPARACIÓN!$B$3:$B$27</c:f>
              <c:numCache>
                <c:formatCode>General</c:formatCode>
                <c:ptCount val="25"/>
                <c:pt idx="1">
                  <c:v>53</c:v>
                </c:pt>
                <c:pt idx="2">
                  <c:v>85</c:v>
                </c:pt>
                <c:pt idx="3">
                  <c:v>43</c:v>
                </c:pt>
                <c:pt idx="4">
                  <c:v>55</c:v>
                </c:pt>
                <c:pt idx="5">
                  <c:v>58</c:v>
                </c:pt>
                <c:pt idx="6">
                  <c:v>73</c:v>
                </c:pt>
                <c:pt idx="7">
                  <c:v>35</c:v>
                </c:pt>
                <c:pt idx="8">
                  <c:v>86</c:v>
                </c:pt>
                <c:pt idx="9">
                  <c:v>67</c:v>
                </c:pt>
                <c:pt idx="10">
                  <c:v>39</c:v>
                </c:pt>
                <c:pt idx="11">
                  <c:v>81</c:v>
                </c:pt>
                <c:pt idx="12">
                  <c:v>67</c:v>
                </c:pt>
                <c:pt idx="13">
                  <c:v>58</c:v>
                </c:pt>
                <c:pt idx="14">
                  <c:v>51</c:v>
                </c:pt>
                <c:pt idx="15">
                  <c:v>67</c:v>
                </c:pt>
                <c:pt idx="16">
                  <c:v>51</c:v>
                </c:pt>
                <c:pt idx="17">
                  <c:v>65</c:v>
                </c:pt>
                <c:pt idx="18">
                  <c:v>56</c:v>
                </c:pt>
                <c:pt idx="19">
                  <c:v>46</c:v>
                </c:pt>
                <c:pt idx="2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E-4505-80D8-B6D58AF496D9}"/>
            </c:ext>
          </c:extLst>
        </c:ser>
        <c:ser>
          <c:idx val="1"/>
          <c:order val="1"/>
          <c:tx>
            <c:v>K=4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COMPARACIÓN!$A$3:$A$27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COMPARACIÓN!$C$3:$C$27</c:f>
              <c:numCache>
                <c:formatCode>General</c:formatCode>
                <c:ptCount val="25"/>
                <c:pt idx="5">
                  <c:v>59</c:v>
                </c:pt>
                <c:pt idx="6">
                  <c:v>60.25</c:v>
                </c:pt>
                <c:pt idx="7">
                  <c:v>57.25</c:v>
                </c:pt>
                <c:pt idx="8">
                  <c:v>55.25</c:v>
                </c:pt>
                <c:pt idx="9">
                  <c:v>63</c:v>
                </c:pt>
                <c:pt idx="10">
                  <c:v>65.25</c:v>
                </c:pt>
                <c:pt idx="11">
                  <c:v>56.75</c:v>
                </c:pt>
                <c:pt idx="12">
                  <c:v>68.25</c:v>
                </c:pt>
                <c:pt idx="13">
                  <c:v>63.5</c:v>
                </c:pt>
                <c:pt idx="14">
                  <c:v>61.25</c:v>
                </c:pt>
                <c:pt idx="15">
                  <c:v>64.25</c:v>
                </c:pt>
                <c:pt idx="16">
                  <c:v>60.75</c:v>
                </c:pt>
                <c:pt idx="17">
                  <c:v>56.75</c:v>
                </c:pt>
                <c:pt idx="18">
                  <c:v>58.5</c:v>
                </c:pt>
                <c:pt idx="19">
                  <c:v>59.75</c:v>
                </c:pt>
                <c:pt idx="20">
                  <c:v>54.5</c:v>
                </c:pt>
                <c:pt idx="21" formatCode="0.00">
                  <c:v>60.5</c:v>
                </c:pt>
                <c:pt idx="22" formatCode="0.00">
                  <c:v>59.375</c:v>
                </c:pt>
                <c:pt idx="23" formatCode="0.00">
                  <c:v>60.21875</c:v>
                </c:pt>
                <c:pt idx="24" formatCode="0.00">
                  <c:v>63.7734375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E-4505-80D8-B6D58AF496D9}"/>
            </c:ext>
          </c:extLst>
        </c:ser>
        <c:ser>
          <c:idx val="2"/>
          <c:order val="2"/>
          <c:tx>
            <c:v>SES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COMPARACIÓN!$A$3:$A$27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COMPARACIÓN!$D$3:$D$27</c:f>
              <c:numCache>
                <c:formatCode>General</c:formatCode>
                <c:ptCount val="25"/>
                <c:pt idx="1">
                  <c:v>53</c:v>
                </c:pt>
                <c:pt idx="2">
                  <c:v>53</c:v>
                </c:pt>
                <c:pt idx="3" formatCode="0.00">
                  <c:v>55.267740172071953</c:v>
                </c:pt>
                <c:pt idx="4" formatCode="0.00">
                  <c:v>54.398363696798562</c:v>
                </c:pt>
                <c:pt idx="5" formatCode="0.00">
                  <c:v>54.440999784728149</c:v>
                </c:pt>
                <c:pt idx="6" formatCode="0.00">
                  <c:v>54.693215027246424</c:v>
                </c:pt>
                <c:pt idx="7" formatCode="0.00">
                  <c:v>55.990559768002562</c:v>
                </c:pt>
                <c:pt idx="8" formatCode="0.00">
                  <c:v>54.503024279872044</c:v>
                </c:pt>
                <c:pt idx="9" formatCode="0.00">
                  <c:v>56.735116690475451</c:v>
                </c:pt>
                <c:pt idx="10" formatCode="0.00">
                  <c:v>57.462556948057937</c:v>
                </c:pt>
                <c:pt idx="11" formatCode="0.00">
                  <c:v>56.15417313336178</c:v>
                </c:pt>
                <c:pt idx="12" formatCode="0.00">
                  <c:v>57.914919373793651</c:v>
                </c:pt>
                <c:pt idx="13" formatCode="0.00">
                  <c:v>58.558750695748671</c:v>
                </c:pt>
                <c:pt idx="14" formatCode="0.00">
                  <c:v>58.519153777032351</c:v>
                </c:pt>
                <c:pt idx="15" formatCode="0.00">
                  <c:v>57.98629480577727</c:v>
                </c:pt>
                <c:pt idx="16" formatCode="0.00">
                  <c:v>58.625067973532033</c:v>
                </c:pt>
                <c:pt idx="17" formatCode="0.00">
                  <c:v>58.084703193583351</c:v>
                </c:pt>
                <c:pt idx="18" formatCode="0.00">
                  <c:v>58.574768705136847</c:v>
                </c:pt>
                <c:pt idx="19" formatCode="0.00">
                  <c:v>58.392302879310833</c:v>
                </c:pt>
                <c:pt idx="20" formatCode="0.00">
                  <c:v>57.514099033564079</c:v>
                </c:pt>
                <c:pt idx="21" formatCode="0.00">
                  <c:v>58.753270285640909</c:v>
                </c:pt>
                <c:pt idx="22" formatCode="0.00">
                  <c:v>59.904625336829888</c:v>
                </c:pt>
                <c:pt idx="23" formatCode="0.00">
                  <c:v>60.974387447334514</c:v>
                </c:pt>
                <c:pt idx="24" formatCode="0.00">
                  <c:v>61.968338854321892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4E-4505-80D8-B6D58AF496D9}"/>
            </c:ext>
          </c:extLst>
        </c:ser>
        <c:ser>
          <c:idx val="3"/>
          <c:order val="3"/>
          <c:tx>
            <c:v>HOLT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COMPARACIÓN!$A$3:$A$27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COMPARACIÓN!$E$3:$E$27</c:f>
              <c:numCache>
                <c:formatCode>General</c:formatCode>
                <c:ptCount val="25"/>
                <c:pt idx="2" formatCode="0.00">
                  <c:v>93.769065491830517</c:v>
                </c:pt>
                <c:pt idx="3" formatCode="0.00">
                  <c:v>43.197731306269738</c:v>
                </c:pt>
                <c:pt idx="4" formatCode="0.00">
                  <c:v>49.958144330806356</c:v>
                </c:pt>
                <c:pt idx="5" formatCode="0.00">
                  <c:v>57.131782538440007</c:v>
                </c:pt>
                <c:pt idx="6" formatCode="0.00">
                  <c:v>77.822458607960243</c:v>
                </c:pt>
                <c:pt idx="7" formatCode="0.00">
                  <c:v>30.736223545417616</c:v>
                </c:pt>
                <c:pt idx="8" formatCode="0.00">
                  <c:v>89.732895088488874</c:v>
                </c:pt>
                <c:pt idx="9" formatCode="0.00">
                  <c:v>73.727333095018594</c:v>
                </c:pt>
                <c:pt idx="10" formatCode="0.00">
                  <c:v>32.416568280798046</c:v>
                </c:pt>
                <c:pt idx="11" formatCode="0.00">
                  <c:v>81.933750263888911</c:v>
                </c:pt>
                <c:pt idx="12" formatCode="0.00">
                  <c:v>71.950405606943434</c:v>
                </c:pt>
                <c:pt idx="13" formatCode="0.00">
                  <c:v>56.634956287778941</c:v>
                </c:pt>
                <c:pt idx="14" formatCode="0.00">
                  <c:v>45.762345791997191</c:v>
                </c:pt>
                <c:pt idx="15" formatCode="0.00">
                  <c:v>66.641646642015232</c:v>
                </c:pt>
                <c:pt idx="16" formatCode="0.00">
                  <c:v>49.900065095987628</c:v>
                </c:pt>
                <c:pt idx="17" formatCode="0.00">
                  <c:v>65.427222250994362</c:v>
                </c:pt>
                <c:pt idx="18" formatCode="0.00">
                  <c:v>56.364160812677248</c:v>
                </c:pt>
                <c:pt idx="19" formatCode="0.00">
                  <c:v>41.950549718422941</c:v>
                </c:pt>
                <c:pt idx="20" formatCode="0.00">
                  <c:v>78.277330340553874</c:v>
                </c:pt>
                <c:pt idx="21" formatCode="0.00">
                  <c:v>78.277330340553874</c:v>
                </c:pt>
                <c:pt idx="22" formatCode="0.00">
                  <c:v>87.07090331973609</c:v>
                </c:pt>
                <c:pt idx="23" formatCode="0.00">
                  <c:v>95.864476298918305</c:v>
                </c:pt>
                <c:pt idx="24" formatCode="0.00">
                  <c:v>104.65804927810052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4E-4505-80D8-B6D58AF496D9}"/>
            </c:ext>
          </c:extLst>
        </c:ser>
        <c:ser>
          <c:idx val="4"/>
          <c:order val="4"/>
          <c:tx>
            <c:v>H-WINTERS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COMPARACIÓN!$A$3:$A$27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COMPARACIÓN!$F$3:$F$27</c:f>
              <c:numCache>
                <c:formatCode>0.00</c:formatCode>
                <c:ptCount val="25"/>
                <c:pt idx="1">
                  <c:v>68.253752862790634</c:v>
                </c:pt>
                <c:pt idx="2">
                  <c:v>74.381187058557003</c:v>
                </c:pt>
                <c:pt idx="3">
                  <c:v>60.396087633041567</c:v>
                </c:pt>
                <c:pt idx="4">
                  <c:v>70.256369770295649</c:v>
                </c:pt>
                <c:pt idx="5">
                  <c:v>64.712880515997483</c:v>
                </c:pt>
                <c:pt idx="6">
                  <c:v>68.538487958427936</c:v>
                </c:pt>
                <c:pt idx="7">
                  <c:v>52.40412851421727</c:v>
                </c:pt>
                <c:pt idx="8">
                  <c:v>70.741308462447179</c:v>
                </c:pt>
                <c:pt idx="9">
                  <c:v>67.727845021027932</c:v>
                </c:pt>
                <c:pt idx="10">
                  <c:v>59.603524426402927</c:v>
                </c:pt>
                <c:pt idx="11">
                  <c:v>61.437228399840485</c:v>
                </c:pt>
                <c:pt idx="12">
                  <c:v>74.079700590701705</c:v>
                </c:pt>
                <c:pt idx="13">
                  <c:v>66.899581320962696</c:v>
                </c:pt>
                <c:pt idx="14">
                  <c:v>62.130388358636246</c:v>
                </c:pt>
                <c:pt idx="15">
                  <c:v>58.767474458558368</c:v>
                </c:pt>
                <c:pt idx="16">
                  <c:v>63.943785413141249</c:v>
                </c:pt>
                <c:pt idx="17">
                  <c:v>61.566707428435222</c:v>
                </c:pt>
                <c:pt idx="18">
                  <c:v>59.074709146393857</c:v>
                </c:pt>
                <c:pt idx="19">
                  <c:v>47.02698465364282</c:v>
                </c:pt>
                <c:pt idx="20">
                  <c:v>63.131834620838767</c:v>
                </c:pt>
                <c:pt idx="21">
                  <c:v>59.306018229320856</c:v>
                </c:pt>
                <c:pt idx="22">
                  <c:v>60.210711903829853</c:v>
                </c:pt>
                <c:pt idx="23">
                  <c:v>51.532813234066865</c:v>
                </c:pt>
                <c:pt idx="24">
                  <c:v>62.759518517764562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4E-4505-80D8-B6D58AF49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396191"/>
        <c:axId val="1366396671"/>
      </c:lineChart>
      <c:catAx>
        <c:axId val="136639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6396671"/>
        <c:crosses val="autoZero"/>
        <c:auto val="1"/>
        <c:lblAlgn val="ctr"/>
        <c:lblOffset val="100"/>
        <c:noMultiLvlLbl val="0"/>
      </c:catAx>
      <c:valAx>
        <c:axId val="13663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639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404259</xdr:colOff>
      <xdr:row>10</xdr:row>
      <xdr:rowOff>60837</xdr:rowOff>
    </xdr:from>
    <xdr:to>
      <xdr:col>22</xdr:col>
      <xdr:colOff>111524</xdr:colOff>
      <xdr:row>34</xdr:row>
      <xdr:rowOff>53774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BA10E8-47E1-3AA3-DB7C-1FC864EF3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21770</xdr:colOff>
      <xdr:row>29</xdr:row>
      <xdr:rowOff>141514</xdr:rowOff>
    </xdr:from>
    <xdr:to>
      <xdr:col>4</xdr:col>
      <xdr:colOff>957942</xdr:colOff>
      <xdr:row>35</xdr:row>
      <xdr:rowOff>133954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41AF8D35-79CC-4366-A57D-7C5DC4217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27" y="5595257"/>
          <a:ext cx="3733801" cy="1102783"/>
        </a:xfrm>
        <a:prstGeom prst="rect">
          <a:avLst/>
        </a:prstGeom>
      </xdr:spPr>
    </xdr:pic>
    <xdr:clientData/>
  </xdr:twoCellAnchor>
  <xdr:twoCellAnchor>
    <xdr:from>
      <xdr:col>7</xdr:col>
      <xdr:colOff>860534</xdr:colOff>
      <xdr:row>26</xdr:row>
      <xdr:rowOff>119555</xdr:rowOff>
    </xdr:from>
    <xdr:to>
      <xdr:col>13</xdr:col>
      <xdr:colOff>486102</xdr:colOff>
      <xdr:row>49</xdr:row>
      <xdr:rowOff>131379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25EDF-061F-1959-6DAA-9A342E0E7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385782</xdr:colOff>
      <xdr:row>3</xdr:row>
      <xdr:rowOff>177576</xdr:rowOff>
    </xdr:from>
    <xdr:to>
      <xdr:col>16</xdr:col>
      <xdr:colOff>294342</xdr:colOff>
      <xdr:row>21</xdr:row>
      <xdr:rowOff>97566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02024-5C08-079D-05E8-556BDC06D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403860</xdr:colOff>
      <xdr:row>22</xdr:row>
      <xdr:rowOff>144780</xdr:rowOff>
    </xdr:from>
    <xdr:to>
      <xdr:col>9</xdr:col>
      <xdr:colOff>509075</xdr:colOff>
      <xdr:row>26</xdr:row>
      <xdr:rowOff>5799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BCB1-7701-1294-C533-1B4523B9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9020" y="4183380"/>
          <a:ext cx="3153215" cy="6001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47925</xdr:colOff>
      <xdr:row>5</xdr:row>
      <xdr:rowOff>123232</xdr:rowOff>
    </xdr:from>
    <xdr:to>
      <xdr:col>15</xdr:col>
      <xdr:colOff>118986</xdr:colOff>
      <xdr:row>12</xdr:row>
      <xdr:rowOff>19289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F7002-BD3B-E9D2-7AA4-52C10E68C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2201" y="1060404"/>
          <a:ext cx="3749682" cy="1183575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13</xdr:row>
      <xdr:rowOff>43793</xdr:rowOff>
    </xdr:from>
    <xdr:to>
      <xdr:col>17</xdr:col>
      <xdr:colOff>245241</xdr:colOff>
      <xdr:row>30</xdr:row>
      <xdr:rowOff>87586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1CE59-4508-E4A4-C990-1741660DD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506371</xdr:colOff>
      <xdr:row>4</xdr:row>
      <xdr:rowOff>54763</xdr:rowOff>
    </xdr:from>
    <xdr:to>
      <xdr:col>16</xdr:col>
      <xdr:colOff>135393</xdr:colOff>
      <xdr:row>14</xdr:row>
      <xdr:rowOff>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2DEB2-E0F3-57AD-7665-E166884C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2419" y="816763"/>
          <a:ext cx="3907239" cy="1789375"/>
        </a:xfrm>
        <a:prstGeom prst="rect">
          <a:avLst/>
        </a:prstGeom>
      </xdr:spPr>
    </xdr:pic>
    <xdr:clientData/>
  </xdr:twoCellAnchor>
  <xdr:twoCellAnchor>
    <xdr:from>
      <xdr:col>10</xdr:col>
      <xdr:colOff>86864</xdr:colOff>
      <xdr:row>15</xdr:row>
      <xdr:rowOff>100759</xdr:rowOff>
    </xdr:from>
    <xdr:to>
      <xdr:col>17</xdr:col>
      <xdr:colOff>238699</xdr:colOff>
      <xdr:row>30</xdr:row>
      <xdr:rowOff>144378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CBF38-4919-ED56-8298-19BB4BD7A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32197</xdr:colOff>
      <xdr:row>2</xdr:row>
      <xdr:rowOff>32857</xdr:rowOff>
    </xdr:from>
    <xdr:to>
      <xdr:col>26</xdr:col>
      <xdr:colOff>462138</xdr:colOff>
      <xdr:row>21</xdr:row>
      <xdr:rowOff>41119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9619BF-39E6-9482-41EC-565E1BA2C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407831</xdr:colOff>
      <xdr:row>8</xdr:row>
      <xdr:rowOff>171719</xdr:rowOff>
    </xdr:from>
    <xdr:to>
      <xdr:col>20</xdr:col>
      <xdr:colOff>579550</xdr:colOff>
      <xdr:row>31</xdr:row>
      <xdr:rowOff>118057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CE21C-E6EB-FDC0-C6FF-E15D4F805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D6C0-84C2-455D-8AE2-B4C2B09FDCAD}">
  <dimension ref="A1:T28"/>
  <sheetViews>
    <sheetView topLeftCell="H1" zoomScale="76" zoomScaleNormal="56" workbookViewId="0">
      <selection activeCell="O7" sqref="O7"/>
    </sheetView>
  </sheetViews>
  <sheetFormatPr defaultColWidth="11.5546875" defaultRowHeight="14.4" x14ac:dyDescent="0.3"/>
  <cols>
    <col min="3" max="4" width="14.6640625" bestFit="1" customWidth="1"/>
    <col min="5" max="7" width="15.5546875" bestFit="1" customWidth="1"/>
    <col min="8" max="13" width="15.5546875" customWidth="1"/>
    <col min="14" max="15" width="15.5546875" bestFit="1" customWidth="1"/>
  </cols>
  <sheetData>
    <row r="1" spans="1:20" ht="15" thickBot="1" x14ac:dyDescent="0.35"/>
    <row r="2" spans="1:20" ht="16.2" thickBot="1" x14ac:dyDescent="0.35">
      <c r="C2" s="16" t="s">
        <v>0</v>
      </c>
      <c r="D2" s="17" t="s">
        <v>1</v>
      </c>
      <c r="E2" s="2" t="s">
        <v>2</v>
      </c>
      <c r="F2" s="2" t="s">
        <v>3</v>
      </c>
      <c r="G2" s="44" t="s">
        <v>4</v>
      </c>
      <c r="I2" s="45" t="s">
        <v>0</v>
      </c>
      <c r="J2" s="4" t="s">
        <v>1</v>
      </c>
      <c r="K2" s="4" t="s">
        <v>2</v>
      </c>
      <c r="L2" s="4" t="s">
        <v>5</v>
      </c>
      <c r="M2" s="46" t="s">
        <v>6</v>
      </c>
      <c r="P2" s="47" t="s">
        <v>0</v>
      </c>
      <c r="Q2" s="48" t="s">
        <v>1</v>
      </c>
      <c r="R2" s="48" t="s">
        <v>7</v>
      </c>
      <c r="S2" s="48" t="s">
        <v>5</v>
      </c>
      <c r="T2" s="49" t="s">
        <v>6</v>
      </c>
    </row>
    <row r="3" spans="1:20" ht="16.2" thickBot="1" x14ac:dyDescent="0.35">
      <c r="A3" s="20" t="s">
        <v>8</v>
      </c>
      <c r="B3" s="21" t="s">
        <v>9</v>
      </c>
      <c r="C3" s="21" t="s">
        <v>10</v>
      </c>
      <c r="D3" s="21" t="s">
        <v>10</v>
      </c>
      <c r="E3" s="22" t="s">
        <v>10</v>
      </c>
      <c r="F3" s="22" t="s">
        <v>10</v>
      </c>
      <c r="G3" s="23" t="s">
        <v>10</v>
      </c>
      <c r="I3" s="50" t="s">
        <v>11</v>
      </c>
      <c r="J3" s="6" t="s">
        <v>11</v>
      </c>
      <c r="K3" s="6" t="s">
        <v>11</v>
      </c>
      <c r="L3" s="6" t="s">
        <v>11</v>
      </c>
      <c r="M3" s="51" t="s">
        <v>11</v>
      </c>
      <c r="O3" s="68" t="s">
        <v>14</v>
      </c>
      <c r="P3" s="109">
        <f>AVERAGE(I7:I24)</f>
        <v>376.70833333333331</v>
      </c>
      <c r="Q3" s="109">
        <f>AVERAGE(J8:J24)</f>
        <v>240.33333333333329</v>
      </c>
      <c r="R3" s="109">
        <f>AVERAGE(K9:K24)</f>
        <v>238.77734375</v>
      </c>
      <c r="S3" s="109">
        <f>AVERAGE(L10:L24)</f>
        <v>279.11466666666672</v>
      </c>
      <c r="T3" s="110">
        <f>AVERAGE(M11:M24)</f>
        <v>247.15079365079364</v>
      </c>
    </row>
    <row r="4" spans="1:20" ht="15" thickBot="1" x14ac:dyDescent="0.35">
      <c r="A4" s="24">
        <v>0</v>
      </c>
      <c r="B4" s="18"/>
      <c r="C4" s="18"/>
      <c r="D4" s="18"/>
      <c r="E4" s="1"/>
      <c r="F4" s="1"/>
      <c r="G4" s="10"/>
      <c r="I4" s="7"/>
      <c r="J4" s="5"/>
      <c r="K4" s="5"/>
      <c r="L4" s="5"/>
      <c r="M4" s="8"/>
      <c r="O4" s="69" t="s">
        <v>15</v>
      </c>
      <c r="P4" s="109">
        <f>SQRT(P3)</f>
        <v>19.408975586911673</v>
      </c>
      <c r="Q4" s="109">
        <f>SQRT(Q3)</f>
        <v>15.502687938977978</v>
      </c>
      <c r="R4" s="109">
        <f t="shared" ref="R4:T4" si="0">SQRT(R3)</f>
        <v>15.452421938000528</v>
      </c>
      <c r="S4" s="109">
        <f t="shared" si="0"/>
        <v>16.706725192767934</v>
      </c>
      <c r="T4" s="110">
        <f t="shared" si="0"/>
        <v>15.721030298641169</v>
      </c>
    </row>
    <row r="5" spans="1:20" x14ac:dyDescent="0.3">
      <c r="A5" s="24">
        <v>1</v>
      </c>
      <c r="B5" s="18">
        <v>53</v>
      </c>
      <c r="C5" s="18"/>
      <c r="D5" s="18"/>
      <c r="E5" s="1"/>
      <c r="F5" s="1"/>
      <c r="G5" s="10"/>
      <c r="I5" s="9"/>
      <c r="J5" s="1"/>
      <c r="K5" s="1"/>
      <c r="L5" s="1"/>
      <c r="M5" s="10"/>
    </row>
    <row r="6" spans="1:20" x14ac:dyDescent="0.3">
      <c r="A6" s="24">
        <v>2</v>
      </c>
      <c r="B6" s="18">
        <v>85</v>
      </c>
      <c r="C6" s="18"/>
      <c r="D6" s="18"/>
      <c r="E6" s="1"/>
      <c r="F6" s="1"/>
      <c r="G6" s="10"/>
      <c r="I6" s="9"/>
      <c r="J6" s="1"/>
      <c r="K6" s="1"/>
      <c r="L6" s="1"/>
      <c r="M6" s="10"/>
    </row>
    <row r="7" spans="1:20" x14ac:dyDescent="0.3">
      <c r="A7" s="24">
        <v>3</v>
      </c>
      <c r="B7" s="18">
        <v>43</v>
      </c>
      <c r="C7" s="18">
        <f>AVERAGE(B5:B6)</f>
        <v>69</v>
      </c>
      <c r="D7" s="18"/>
      <c r="E7" s="1"/>
      <c r="F7" s="1"/>
      <c r="G7" s="10"/>
      <c r="I7" s="9">
        <f>(B7-C7)^2</f>
        <v>676</v>
      </c>
      <c r="J7" s="1"/>
      <c r="K7" s="1"/>
      <c r="L7" s="1"/>
      <c r="M7" s="10"/>
    </row>
    <row r="8" spans="1:20" x14ac:dyDescent="0.3">
      <c r="A8" s="24">
        <v>4</v>
      </c>
      <c r="B8" s="18">
        <v>55</v>
      </c>
      <c r="C8" s="18">
        <f t="shared" ref="C8:C25" si="1">AVERAGE(B6:B7)</f>
        <v>64</v>
      </c>
      <c r="D8" s="19">
        <f>AVERAGE(B5:B7)</f>
        <v>60.333333333333336</v>
      </c>
      <c r="E8" s="1"/>
      <c r="F8" s="1"/>
      <c r="G8" s="10"/>
      <c r="I8" s="9">
        <f t="shared" ref="I8:I24" si="2">(B8-C8)^2</f>
        <v>81</v>
      </c>
      <c r="J8" s="3">
        <f>(B8-D8)^2</f>
        <v>28.444444444444471</v>
      </c>
      <c r="K8" s="1"/>
      <c r="L8" s="1"/>
      <c r="M8" s="10"/>
    </row>
    <row r="9" spans="1:20" x14ac:dyDescent="0.3">
      <c r="A9" s="24">
        <v>5</v>
      </c>
      <c r="B9" s="18">
        <v>58</v>
      </c>
      <c r="C9" s="18">
        <f t="shared" si="1"/>
        <v>49</v>
      </c>
      <c r="D9" s="19">
        <f t="shared" ref="D9:D24" si="3">AVERAGE(B6:B8)</f>
        <v>61</v>
      </c>
      <c r="E9" s="1">
        <f>AVERAGE(B5:B8)</f>
        <v>59</v>
      </c>
      <c r="F9" s="1"/>
      <c r="G9" s="10"/>
      <c r="I9" s="9">
        <f t="shared" si="2"/>
        <v>81</v>
      </c>
      <c r="J9" s="3">
        <f t="shared" ref="J9:J24" si="4">(B9-D9)^2</f>
        <v>9</v>
      </c>
      <c r="K9" s="3">
        <f>(B9-E9)^2</f>
        <v>1</v>
      </c>
      <c r="L9" s="1"/>
      <c r="M9" s="10"/>
    </row>
    <row r="10" spans="1:20" x14ac:dyDescent="0.3">
      <c r="A10" s="24">
        <v>6</v>
      </c>
      <c r="B10" s="18">
        <v>73</v>
      </c>
      <c r="C10" s="18">
        <f t="shared" si="1"/>
        <v>56.5</v>
      </c>
      <c r="D10" s="19">
        <f t="shared" si="3"/>
        <v>52</v>
      </c>
      <c r="E10" s="1">
        <f t="shared" ref="E10:E25" si="5">AVERAGE(B6:B9)</f>
        <v>60.25</v>
      </c>
      <c r="F10" s="1">
        <f t="shared" ref="F10:F25" si="6">AVERAGE(B5:B9)</f>
        <v>58.8</v>
      </c>
      <c r="G10" s="10"/>
      <c r="I10" s="9">
        <f t="shared" si="2"/>
        <v>272.25</v>
      </c>
      <c r="J10" s="3">
        <f t="shared" si="4"/>
        <v>441</v>
      </c>
      <c r="K10" s="3">
        <f t="shared" ref="K10:K24" si="7">(B10-E10)^2</f>
        <v>162.5625</v>
      </c>
      <c r="L10" s="1">
        <f>(B10-F10)^2</f>
        <v>201.64000000000007</v>
      </c>
      <c r="M10" s="10"/>
    </row>
    <row r="11" spans="1:20" x14ac:dyDescent="0.3">
      <c r="A11" s="24">
        <v>7</v>
      </c>
      <c r="B11" s="18">
        <v>35</v>
      </c>
      <c r="C11" s="18">
        <f t="shared" si="1"/>
        <v>65.5</v>
      </c>
      <c r="D11" s="19">
        <f t="shared" si="3"/>
        <v>62</v>
      </c>
      <c r="E11" s="1">
        <f t="shared" si="5"/>
        <v>57.25</v>
      </c>
      <c r="F11" s="1">
        <f t="shared" si="6"/>
        <v>62.8</v>
      </c>
      <c r="G11" s="25">
        <f>AVERAGE(B5:B10)</f>
        <v>61.166666666666664</v>
      </c>
      <c r="I11" s="9">
        <f t="shared" si="2"/>
        <v>930.25</v>
      </c>
      <c r="J11" s="3">
        <f t="shared" si="4"/>
        <v>729</v>
      </c>
      <c r="K11" s="3">
        <f t="shared" si="7"/>
        <v>495.0625</v>
      </c>
      <c r="L11" s="1">
        <f t="shared" ref="L11:L24" si="8">(B11-F11)^2</f>
        <v>772.8399999999998</v>
      </c>
      <c r="M11" s="11">
        <f>(B11-G11)^2</f>
        <v>684.69444444444434</v>
      </c>
    </row>
    <row r="12" spans="1:20" x14ac:dyDescent="0.3">
      <c r="A12" s="24">
        <v>8</v>
      </c>
      <c r="B12" s="18">
        <v>86</v>
      </c>
      <c r="C12" s="18">
        <f t="shared" si="1"/>
        <v>54</v>
      </c>
      <c r="D12" s="19">
        <f t="shared" si="3"/>
        <v>55.333333333333336</v>
      </c>
      <c r="E12" s="1">
        <f t="shared" si="5"/>
        <v>55.25</v>
      </c>
      <c r="F12" s="1">
        <f t="shared" si="6"/>
        <v>52.8</v>
      </c>
      <c r="G12" s="25">
        <f t="shared" ref="G12:G25" si="9">AVERAGE(B6:B11)</f>
        <v>58.166666666666664</v>
      </c>
      <c r="I12" s="9">
        <f t="shared" si="2"/>
        <v>1024</v>
      </c>
      <c r="J12" s="3">
        <f t="shared" si="4"/>
        <v>940.44444444444434</v>
      </c>
      <c r="K12" s="3">
        <f t="shared" si="7"/>
        <v>945.5625</v>
      </c>
      <c r="L12" s="1">
        <f t="shared" si="8"/>
        <v>1102.2400000000002</v>
      </c>
      <c r="M12" s="11">
        <f t="shared" ref="M12:M24" si="10">(B12-G12)^2</f>
        <v>774.69444444444457</v>
      </c>
    </row>
    <row r="13" spans="1:20" x14ac:dyDescent="0.3">
      <c r="A13" s="24">
        <v>9</v>
      </c>
      <c r="B13" s="18">
        <v>67</v>
      </c>
      <c r="C13" s="18">
        <f t="shared" si="1"/>
        <v>60.5</v>
      </c>
      <c r="D13" s="19">
        <f t="shared" si="3"/>
        <v>64.666666666666671</v>
      </c>
      <c r="E13" s="1">
        <f t="shared" si="5"/>
        <v>63</v>
      </c>
      <c r="F13" s="1">
        <f t="shared" si="6"/>
        <v>61.4</v>
      </c>
      <c r="G13" s="25">
        <f t="shared" si="9"/>
        <v>58.333333333333336</v>
      </c>
      <c r="I13" s="9">
        <f t="shared" si="2"/>
        <v>42.25</v>
      </c>
      <c r="J13" s="3">
        <f t="shared" si="4"/>
        <v>5.4444444444444224</v>
      </c>
      <c r="K13" s="3">
        <f t="shared" si="7"/>
        <v>16</v>
      </c>
      <c r="L13" s="1">
        <f t="shared" si="8"/>
        <v>31.360000000000017</v>
      </c>
      <c r="M13" s="11">
        <f t="shared" si="10"/>
        <v>75.111111111111072</v>
      </c>
    </row>
    <row r="14" spans="1:20" x14ac:dyDescent="0.3">
      <c r="A14" s="24">
        <v>10</v>
      </c>
      <c r="B14" s="18">
        <v>39</v>
      </c>
      <c r="C14" s="18">
        <f t="shared" si="1"/>
        <v>76.5</v>
      </c>
      <c r="D14" s="19">
        <f t="shared" si="3"/>
        <v>62.666666666666664</v>
      </c>
      <c r="E14" s="1">
        <f t="shared" si="5"/>
        <v>65.25</v>
      </c>
      <c r="F14" s="1">
        <f t="shared" si="6"/>
        <v>63.8</v>
      </c>
      <c r="G14" s="25">
        <f t="shared" si="9"/>
        <v>62.333333333333336</v>
      </c>
      <c r="I14" s="9">
        <f t="shared" si="2"/>
        <v>1406.25</v>
      </c>
      <c r="J14" s="3">
        <f t="shared" si="4"/>
        <v>560.11111111111097</v>
      </c>
      <c r="K14" s="3">
        <f t="shared" si="7"/>
        <v>689.0625</v>
      </c>
      <c r="L14" s="1">
        <f t="shared" si="8"/>
        <v>615.03999999999985</v>
      </c>
      <c r="M14" s="11">
        <f t="shared" si="10"/>
        <v>544.44444444444457</v>
      </c>
    </row>
    <row r="15" spans="1:20" x14ac:dyDescent="0.3">
      <c r="A15" s="24">
        <v>11</v>
      </c>
      <c r="B15" s="18">
        <v>81</v>
      </c>
      <c r="C15" s="18">
        <f t="shared" si="1"/>
        <v>53</v>
      </c>
      <c r="D15" s="19">
        <f t="shared" si="3"/>
        <v>64</v>
      </c>
      <c r="E15" s="1">
        <f t="shared" si="5"/>
        <v>56.75</v>
      </c>
      <c r="F15" s="1">
        <f t="shared" si="6"/>
        <v>60</v>
      </c>
      <c r="G15" s="25">
        <f t="shared" si="9"/>
        <v>59.666666666666664</v>
      </c>
      <c r="I15" s="9">
        <f t="shared" si="2"/>
        <v>784</v>
      </c>
      <c r="J15" s="3">
        <f t="shared" si="4"/>
        <v>289</v>
      </c>
      <c r="K15" s="3">
        <f t="shared" si="7"/>
        <v>588.0625</v>
      </c>
      <c r="L15" s="1">
        <f t="shared" si="8"/>
        <v>441</v>
      </c>
      <c r="M15" s="11">
        <f t="shared" si="10"/>
        <v>455.1111111111112</v>
      </c>
    </row>
    <row r="16" spans="1:20" x14ac:dyDescent="0.3">
      <c r="A16" s="24">
        <v>12</v>
      </c>
      <c r="B16" s="18">
        <v>67</v>
      </c>
      <c r="C16" s="18">
        <f t="shared" si="1"/>
        <v>60</v>
      </c>
      <c r="D16" s="19">
        <f t="shared" si="3"/>
        <v>62.333333333333336</v>
      </c>
      <c r="E16" s="1">
        <f t="shared" si="5"/>
        <v>68.25</v>
      </c>
      <c r="F16" s="1">
        <f t="shared" si="6"/>
        <v>61.6</v>
      </c>
      <c r="G16" s="25">
        <f t="shared" si="9"/>
        <v>63.5</v>
      </c>
      <c r="I16" s="9">
        <f t="shared" si="2"/>
        <v>49</v>
      </c>
      <c r="J16" s="3">
        <f t="shared" si="4"/>
        <v>21.777777777777757</v>
      </c>
      <c r="K16" s="3">
        <f t="shared" si="7"/>
        <v>1.5625</v>
      </c>
      <c r="L16" s="1">
        <f t="shared" si="8"/>
        <v>29.159999999999986</v>
      </c>
      <c r="M16" s="11">
        <f t="shared" si="10"/>
        <v>12.25</v>
      </c>
    </row>
    <row r="17" spans="1:19" x14ac:dyDescent="0.3">
      <c r="A17" s="24">
        <v>13</v>
      </c>
      <c r="B17" s="18">
        <v>58</v>
      </c>
      <c r="C17" s="18">
        <f t="shared" si="1"/>
        <v>74</v>
      </c>
      <c r="D17" s="19">
        <f t="shared" si="3"/>
        <v>62.333333333333336</v>
      </c>
      <c r="E17" s="1">
        <f t="shared" si="5"/>
        <v>63.5</v>
      </c>
      <c r="F17" s="1">
        <f t="shared" si="6"/>
        <v>68</v>
      </c>
      <c r="G17" s="25">
        <f t="shared" si="9"/>
        <v>62.5</v>
      </c>
      <c r="I17" s="9">
        <f t="shared" si="2"/>
        <v>256</v>
      </c>
      <c r="J17" s="3">
        <f t="shared" si="4"/>
        <v>18.7777777777778</v>
      </c>
      <c r="K17" s="3">
        <f t="shared" si="7"/>
        <v>30.25</v>
      </c>
      <c r="L17" s="1">
        <f t="shared" si="8"/>
        <v>100</v>
      </c>
      <c r="M17" s="11">
        <f t="shared" si="10"/>
        <v>20.25</v>
      </c>
    </row>
    <row r="18" spans="1:19" x14ac:dyDescent="0.3">
      <c r="A18" s="24">
        <v>14</v>
      </c>
      <c r="B18" s="18">
        <v>51</v>
      </c>
      <c r="C18" s="18">
        <f t="shared" si="1"/>
        <v>62.5</v>
      </c>
      <c r="D18" s="19">
        <f t="shared" si="3"/>
        <v>68.666666666666671</v>
      </c>
      <c r="E18" s="1">
        <f t="shared" si="5"/>
        <v>61.25</v>
      </c>
      <c r="F18" s="1">
        <f t="shared" si="6"/>
        <v>62.4</v>
      </c>
      <c r="G18" s="25">
        <f t="shared" si="9"/>
        <v>66.333333333333329</v>
      </c>
      <c r="I18" s="9">
        <f t="shared" si="2"/>
        <v>132.25</v>
      </c>
      <c r="J18" s="3">
        <f t="shared" si="4"/>
        <v>312.11111111111126</v>
      </c>
      <c r="K18" s="3">
        <f t="shared" si="7"/>
        <v>105.0625</v>
      </c>
      <c r="L18" s="1">
        <f t="shared" si="8"/>
        <v>129.95999999999998</v>
      </c>
      <c r="M18" s="11">
        <f t="shared" si="10"/>
        <v>235.11111111111097</v>
      </c>
    </row>
    <row r="19" spans="1:19" x14ac:dyDescent="0.3">
      <c r="A19" s="24">
        <v>15</v>
      </c>
      <c r="B19" s="18">
        <v>67</v>
      </c>
      <c r="C19" s="18">
        <f t="shared" si="1"/>
        <v>54.5</v>
      </c>
      <c r="D19" s="19">
        <f t="shared" si="3"/>
        <v>58.666666666666664</v>
      </c>
      <c r="E19" s="1">
        <f t="shared" si="5"/>
        <v>64.25</v>
      </c>
      <c r="F19" s="1">
        <f t="shared" si="6"/>
        <v>59.2</v>
      </c>
      <c r="G19" s="25">
        <f t="shared" si="9"/>
        <v>60.5</v>
      </c>
      <c r="I19" s="9">
        <f t="shared" si="2"/>
        <v>156.25</v>
      </c>
      <c r="J19" s="3">
        <f t="shared" si="4"/>
        <v>69.444444444444485</v>
      </c>
      <c r="K19" s="3">
        <f t="shared" si="7"/>
        <v>7.5625</v>
      </c>
      <c r="L19" s="1">
        <f t="shared" si="8"/>
        <v>60.839999999999954</v>
      </c>
      <c r="M19" s="11">
        <f t="shared" si="10"/>
        <v>42.25</v>
      </c>
    </row>
    <row r="20" spans="1:19" x14ac:dyDescent="0.3">
      <c r="A20" s="24">
        <v>16</v>
      </c>
      <c r="B20" s="18">
        <v>51</v>
      </c>
      <c r="C20" s="18">
        <f t="shared" si="1"/>
        <v>59</v>
      </c>
      <c r="D20" s="19">
        <f t="shared" si="3"/>
        <v>58.666666666666664</v>
      </c>
      <c r="E20" s="1">
        <f t="shared" si="5"/>
        <v>60.75</v>
      </c>
      <c r="F20" s="1">
        <f t="shared" si="6"/>
        <v>64.8</v>
      </c>
      <c r="G20" s="25">
        <f t="shared" si="9"/>
        <v>60.5</v>
      </c>
      <c r="I20" s="9">
        <f t="shared" si="2"/>
        <v>64</v>
      </c>
      <c r="J20" s="3">
        <f t="shared" si="4"/>
        <v>58.777777777777743</v>
      </c>
      <c r="K20" s="3">
        <f t="shared" si="7"/>
        <v>95.0625</v>
      </c>
      <c r="L20" s="1">
        <f t="shared" si="8"/>
        <v>190.43999999999991</v>
      </c>
      <c r="M20" s="11">
        <f t="shared" si="10"/>
        <v>90.25</v>
      </c>
    </row>
    <row r="21" spans="1:19" x14ac:dyDescent="0.3">
      <c r="A21" s="24">
        <v>17</v>
      </c>
      <c r="B21" s="18">
        <v>65</v>
      </c>
      <c r="C21" s="18">
        <f t="shared" si="1"/>
        <v>59</v>
      </c>
      <c r="D21" s="19">
        <f t="shared" si="3"/>
        <v>56.333333333333336</v>
      </c>
      <c r="E21" s="1">
        <f t="shared" si="5"/>
        <v>56.75</v>
      </c>
      <c r="F21" s="1">
        <f t="shared" si="6"/>
        <v>58.8</v>
      </c>
      <c r="G21" s="25">
        <f t="shared" si="9"/>
        <v>62.5</v>
      </c>
      <c r="I21" s="9">
        <f t="shared" si="2"/>
        <v>36</v>
      </c>
      <c r="J21" s="3">
        <f t="shared" si="4"/>
        <v>75.111111111111072</v>
      </c>
      <c r="K21" s="3">
        <f t="shared" si="7"/>
        <v>68.0625</v>
      </c>
      <c r="L21" s="1">
        <f t="shared" si="8"/>
        <v>38.440000000000033</v>
      </c>
      <c r="M21" s="11">
        <f t="shared" si="10"/>
        <v>6.25</v>
      </c>
    </row>
    <row r="22" spans="1:19" x14ac:dyDescent="0.3">
      <c r="A22" s="24">
        <v>18</v>
      </c>
      <c r="B22" s="18">
        <v>56</v>
      </c>
      <c r="C22" s="18">
        <f t="shared" si="1"/>
        <v>58</v>
      </c>
      <c r="D22" s="19">
        <f t="shared" si="3"/>
        <v>61</v>
      </c>
      <c r="E22" s="1">
        <f t="shared" si="5"/>
        <v>58.5</v>
      </c>
      <c r="F22" s="1">
        <f t="shared" si="6"/>
        <v>58.4</v>
      </c>
      <c r="G22" s="25">
        <f t="shared" si="9"/>
        <v>59.833333333333336</v>
      </c>
      <c r="I22" s="9">
        <f t="shared" si="2"/>
        <v>4</v>
      </c>
      <c r="J22" s="3">
        <f t="shared" si="4"/>
        <v>25</v>
      </c>
      <c r="K22" s="3">
        <f t="shared" si="7"/>
        <v>6.25</v>
      </c>
      <c r="L22" s="1">
        <f t="shared" si="8"/>
        <v>5.7599999999999936</v>
      </c>
      <c r="M22" s="11">
        <f t="shared" si="10"/>
        <v>14.694444444444462</v>
      </c>
    </row>
    <row r="23" spans="1:19" x14ac:dyDescent="0.3">
      <c r="A23" s="24">
        <v>19</v>
      </c>
      <c r="B23" s="18">
        <v>46</v>
      </c>
      <c r="C23" s="18">
        <f t="shared" si="1"/>
        <v>60.5</v>
      </c>
      <c r="D23" s="19">
        <f t="shared" si="3"/>
        <v>57.333333333333336</v>
      </c>
      <c r="E23" s="1">
        <f t="shared" si="5"/>
        <v>59.75</v>
      </c>
      <c r="F23" s="1">
        <f t="shared" si="6"/>
        <v>58</v>
      </c>
      <c r="G23" s="25">
        <f t="shared" si="9"/>
        <v>58</v>
      </c>
      <c r="I23" s="9">
        <f t="shared" si="2"/>
        <v>210.25</v>
      </c>
      <c r="J23" s="3">
        <f t="shared" si="4"/>
        <v>128.44444444444449</v>
      </c>
      <c r="K23" s="3">
        <f t="shared" si="7"/>
        <v>189.0625</v>
      </c>
      <c r="L23" s="1">
        <f t="shared" si="8"/>
        <v>144</v>
      </c>
      <c r="M23" s="11">
        <f t="shared" si="10"/>
        <v>144</v>
      </c>
    </row>
    <row r="24" spans="1:19" ht="15" thickBot="1" x14ac:dyDescent="0.35">
      <c r="A24" s="24">
        <v>20</v>
      </c>
      <c r="B24" s="18">
        <v>75</v>
      </c>
      <c r="C24" s="18">
        <f t="shared" si="1"/>
        <v>51</v>
      </c>
      <c r="D24" s="19">
        <f t="shared" si="3"/>
        <v>55.666666666666664</v>
      </c>
      <c r="E24" s="1">
        <f t="shared" si="5"/>
        <v>54.5</v>
      </c>
      <c r="F24" s="1">
        <f t="shared" si="6"/>
        <v>57</v>
      </c>
      <c r="G24" s="25">
        <f t="shared" si="9"/>
        <v>56</v>
      </c>
      <c r="I24" s="12">
        <f t="shared" si="2"/>
        <v>576</v>
      </c>
      <c r="J24" s="13">
        <f t="shared" si="4"/>
        <v>373.77777777777789</v>
      </c>
      <c r="K24" s="13">
        <f t="shared" si="7"/>
        <v>420.25</v>
      </c>
      <c r="L24" s="14">
        <f t="shared" si="8"/>
        <v>324</v>
      </c>
      <c r="M24" s="15">
        <f t="shared" si="10"/>
        <v>361</v>
      </c>
    </row>
    <row r="25" spans="1:19" ht="15.6" x14ac:dyDescent="0.3">
      <c r="A25" s="24">
        <v>21</v>
      </c>
      <c r="B25" s="1"/>
      <c r="C25" s="64">
        <f t="shared" si="1"/>
        <v>60.5</v>
      </c>
      <c r="D25" s="65">
        <f>AVERAGE(B22:B24)</f>
        <v>59</v>
      </c>
      <c r="E25" s="61">
        <f t="shared" si="5"/>
        <v>60.5</v>
      </c>
      <c r="F25" s="61">
        <f t="shared" si="6"/>
        <v>58.6</v>
      </c>
      <c r="G25" s="66">
        <f t="shared" si="9"/>
        <v>60</v>
      </c>
      <c r="R25" s="52"/>
      <c r="S25" s="52"/>
    </row>
    <row r="26" spans="1:19" x14ac:dyDescent="0.3">
      <c r="A26" s="24">
        <v>22</v>
      </c>
      <c r="B26" s="1"/>
      <c r="C26" s="64">
        <f>(B24+C25)/2</f>
        <v>67.75</v>
      </c>
      <c r="D26" s="65">
        <f>(B23+B24+C25)/3</f>
        <v>60.5</v>
      </c>
      <c r="E26" s="61">
        <f>(B22+B23+B24+E25)/4</f>
        <v>59.375</v>
      </c>
      <c r="F26" s="61">
        <f>(B21+B22+B23+B24+F25)/5</f>
        <v>60.120000000000005</v>
      </c>
      <c r="G26" s="66">
        <f>(B20+B21+B22+B23+G24+G25)/6</f>
        <v>55.666666666666664</v>
      </c>
    </row>
    <row r="27" spans="1:19" x14ac:dyDescent="0.3">
      <c r="A27" s="24">
        <v>23</v>
      </c>
      <c r="B27" s="1"/>
      <c r="C27" s="64">
        <f>(C25+C26)/2</f>
        <v>64.125</v>
      </c>
      <c r="D27" s="65">
        <f>(B24+C25+C26)/3</f>
        <v>67.75</v>
      </c>
      <c r="E27" s="61">
        <f>(B23+B24+E25+E26)/4</f>
        <v>60.21875</v>
      </c>
      <c r="F27" s="61">
        <f>(B22+B23+B24+F25+F26)/5</f>
        <v>59.144000000000005</v>
      </c>
      <c r="G27" s="66">
        <f>(B21+B22+B23+B24+G25+G26)/6</f>
        <v>59.611111111111114</v>
      </c>
    </row>
    <row r="28" spans="1:19" ht="15" thickBot="1" x14ac:dyDescent="0.35">
      <c r="A28" s="26">
        <v>24</v>
      </c>
      <c r="B28" s="14"/>
      <c r="C28" s="62">
        <f>(C26+C27)/2</f>
        <v>65.9375</v>
      </c>
      <c r="D28" s="62">
        <f>(C25+C26+C27)/3</f>
        <v>64.125</v>
      </c>
      <c r="E28" s="62">
        <f>AVERAGE(B24+E25+E26+E27)/4</f>
        <v>63.7734375</v>
      </c>
      <c r="F28" s="62">
        <f>(B23+B24+F25+F26+F27)/5</f>
        <v>59.772800000000004</v>
      </c>
      <c r="G28" s="67">
        <f>(B22+B23+B24+G25+G26+G27)/6</f>
        <v>58.712962962962969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E0D9-9170-4E49-980C-3E8219A7A461}">
  <dimension ref="A1:G26"/>
  <sheetViews>
    <sheetView zoomScale="87" workbookViewId="0">
      <selection activeCell="E1" sqref="E1:G2"/>
    </sheetView>
  </sheetViews>
  <sheetFormatPr defaultRowHeight="14.4" x14ac:dyDescent="0.3"/>
  <cols>
    <col min="4" max="4" width="10.88671875" customWidth="1"/>
  </cols>
  <sheetData>
    <row r="1" spans="1:7" ht="15" thickBot="1" x14ac:dyDescent="0.35">
      <c r="A1" s="32" t="s">
        <v>8</v>
      </c>
      <c r="B1" s="33" t="s">
        <v>9</v>
      </c>
      <c r="C1" s="34" t="s">
        <v>12</v>
      </c>
      <c r="D1" s="34" t="s">
        <v>11</v>
      </c>
      <c r="E1" s="35" t="s">
        <v>13</v>
      </c>
      <c r="F1" s="36" t="s">
        <v>14</v>
      </c>
      <c r="G1" s="36" t="s">
        <v>15</v>
      </c>
    </row>
    <row r="2" spans="1:7" ht="15" thickBot="1" x14ac:dyDescent="0.35">
      <c r="A2" s="27">
        <v>0</v>
      </c>
      <c r="B2" s="28"/>
      <c r="C2" s="29"/>
      <c r="D2" s="29"/>
      <c r="E2" s="39">
        <v>7.0866880377248434E-2</v>
      </c>
      <c r="F2" s="37">
        <f>AVERAGE(D4:D22)</f>
        <v>253.23316208308398</v>
      </c>
      <c r="G2" s="38">
        <f>SQRT(F2)</f>
        <v>15.913301419978319</v>
      </c>
    </row>
    <row r="3" spans="1:7" x14ac:dyDescent="0.3">
      <c r="A3" s="24">
        <v>1</v>
      </c>
      <c r="B3" s="18">
        <v>53</v>
      </c>
      <c r="C3" s="1">
        <v>53</v>
      </c>
      <c r="D3" s="1"/>
    </row>
    <row r="4" spans="1:7" x14ac:dyDescent="0.3">
      <c r="A4" s="24">
        <v>2</v>
      </c>
      <c r="B4" s="18">
        <v>85</v>
      </c>
      <c r="C4" s="3">
        <f>$E$2*B3+(1-$E$2)*C3</f>
        <v>53</v>
      </c>
      <c r="D4" s="3">
        <f>(B4-C4)^2</f>
        <v>1024</v>
      </c>
    </row>
    <row r="5" spans="1:7" x14ac:dyDescent="0.3">
      <c r="A5" s="24">
        <v>3</v>
      </c>
      <c r="B5" s="18">
        <v>43</v>
      </c>
      <c r="C5" s="3">
        <f t="shared" ref="C5:C21" si="0">$E$2*B4+(1-$E$2)*C4</f>
        <v>55.267740172071953</v>
      </c>
      <c r="D5" s="3">
        <f t="shared" ref="D5:D21" si="1">(B5-C5)^2</f>
        <v>150.49744892946799</v>
      </c>
    </row>
    <row r="6" spans="1:7" x14ac:dyDescent="0.3">
      <c r="A6" s="24">
        <v>4</v>
      </c>
      <c r="B6" s="18">
        <v>55</v>
      </c>
      <c r="C6" s="3">
        <f t="shared" si="0"/>
        <v>54.398363696798562</v>
      </c>
      <c r="D6" s="3">
        <f t="shared" si="1"/>
        <v>0.36196624132989291</v>
      </c>
    </row>
    <row r="7" spans="1:7" x14ac:dyDescent="0.3">
      <c r="A7" s="24">
        <v>5</v>
      </c>
      <c r="B7" s="18">
        <v>58</v>
      </c>
      <c r="C7" s="3">
        <f t="shared" si="0"/>
        <v>54.440999784728149</v>
      </c>
      <c r="D7" s="3">
        <f t="shared" si="1"/>
        <v>12.666482532305084</v>
      </c>
    </row>
    <row r="8" spans="1:7" x14ac:dyDescent="0.3">
      <c r="A8" s="24">
        <v>6</v>
      </c>
      <c r="B8" s="18">
        <v>73</v>
      </c>
      <c r="C8" s="3">
        <f t="shared" si="0"/>
        <v>54.693215027246424</v>
      </c>
      <c r="D8" s="3">
        <f t="shared" si="1"/>
        <v>335.13837603863612</v>
      </c>
    </row>
    <row r="9" spans="1:7" x14ac:dyDescent="0.3">
      <c r="A9" s="24">
        <v>7</v>
      </c>
      <c r="B9" s="18">
        <v>35</v>
      </c>
      <c r="C9" s="3">
        <f t="shared" si="0"/>
        <v>55.990559768002562</v>
      </c>
      <c r="D9" s="3">
        <f t="shared" si="1"/>
        <v>440.60359937408776</v>
      </c>
    </row>
    <row r="10" spans="1:7" x14ac:dyDescent="0.3">
      <c r="A10" s="24">
        <v>8</v>
      </c>
      <c r="B10" s="18">
        <v>86</v>
      </c>
      <c r="C10" s="3">
        <f t="shared" si="0"/>
        <v>54.503024279872044</v>
      </c>
      <c r="D10" s="3">
        <f t="shared" si="1"/>
        <v>992.05947951432995</v>
      </c>
    </row>
    <row r="11" spans="1:7" x14ac:dyDescent="0.3">
      <c r="A11" s="24">
        <v>9</v>
      </c>
      <c r="B11" s="18">
        <v>67</v>
      </c>
      <c r="C11" s="3">
        <f t="shared" si="0"/>
        <v>56.735116690475451</v>
      </c>
      <c r="D11" s="3">
        <f t="shared" si="1"/>
        <v>105.36782935815566</v>
      </c>
    </row>
    <row r="12" spans="1:7" x14ac:dyDescent="0.3">
      <c r="A12" s="24">
        <v>10</v>
      </c>
      <c r="B12" s="18">
        <v>39</v>
      </c>
      <c r="C12" s="3">
        <f t="shared" si="0"/>
        <v>57.462556948057937</v>
      </c>
      <c r="D12" s="3">
        <f t="shared" si="1"/>
        <v>340.86600906028241</v>
      </c>
    </row>
    <row r="13" spans="1:7" x14ac:dyDescent="0.3">
      <c r="A13" s="24">
        <v>11</v>
      </c>
      <c r="B13" s="18">
        <v>81</v>
      </c>
      <c r="C13" s="3">
        <f t="shared" si="0"/>
        <v>56.15417313336178</v>
      </c>
      <c r="D13" s="3">
        <f t="shared" si="1"/>
        <v>617.31511268696158</v>
      </c>
    </row>
    <row r="14" spans="1:7" x14ac:dyDescent="0.3">
      <c r="A14" s="24">
        <v>12</v>
      </c>
      <c r="B14" s="18">
        <v>67</v>
      </c>
      <c r="C14" s="3">
        <f t="shared" si="0"/>
        <v>57.914919373793651</v>
      </c>
      <c r="D14" s="3">
        <f t="shared" si="1"/>
        <v>82.538689984669944</v>
      </c>
    </row>
    <row r="15" spans="1:7" x14ac:dyDescent="0.3">
      <c r="A15" s="24">
        <v>13</v>
      </c>
      <c r="B15" s="18">
        <v>58</v>
      </c>
      <c r="C15" s="3">
        <f t="shared" si="0"/>
        <v>58.558750695748671</v>
      </c>
      <c r="D15" s="3">
        <f t="shared" si="1"/>
        <v>0.31220233999962388</v>
      </c>
    </row>
    <row r="16" spans="1:7" x14ac:dyDescent="0.3">
      <c r="A16" s="24">
        <v>14</v>
      </c>
      <c r="B16" s="18">
        <v>51</v>
      </c>
      <c r="C16" s="3">
        <f t="shared" si="0"/>
        <v>58.519153777032351</v>
      </c>
      <c r="D16" s="3">
        <f t="shared" si="1"/>
        <v>56.537673522659865</v>
      </c>
    </row>
    <row r="17" spans="1:4" x14ac:dyDescent="0.3">
      <c r="A17" s="24">
        <v>15</v>
      </c>
      <c r="B17" s="18">
        <v>67</v>
      </c>
      <c r="C17" s="3">
        <f t="shared" si="0"/>
        <v>57.98629480577727</v>
      </c>
      <c r="D17" s="3">
        <f t="shared" si="1"/>
        <v>81.24688132835783</v>
      </c>
    </row>
    <row r="18" spans="1:4" x14ac:dyDescent="0.3">
      <c r="A18" s="24">
        <v>16</v>
      </c>
      <c r="B18" s="18">
        <v>51</v>
      </c>
      <c r="C18" s="3">
        <f t="shared" si="0"/>
        <v>58.625067973532033</v>
      </c>
      <c r="D18" s="3">
        <f t="shared" si="1"/>
        <v>58.141661600983909</v>
      </c>
    </row>
    <row r="19" spans="1:4" x14ac:dyDescent="0.3">
      <c r="A19" s="24">
        <v>17</v>
      </c>
      <c r="B19" s="18">
        <v>65</v>
      </c>
      <c r="C19" s="3">
        <f t="shared" si="0"/>
        <v>58.084703193583351</v>
      </c>
      <c r="D19" s="3">
        <f t="shared" si="1"/>
        <v>47.821329920836298</v>
      </c>
    </row>
    <row r="20" spans="1:4" x14ac:dyDescent="0.3">
      <c r="A20" s="24">
        <v>18</v>
      </c>
      <c r="B20" s="18">
        <v>56</v>
      </c>
      <c r="C20" s="3">
        <f t="shared" si="0"/>
        <v>58.574768705136847</v>
      </c>
      <c r="D20" s="3">
        <f t="shared" si="1"/>
        <v>6.6294338849520775</v>
      </c>
    </row>
    <row r="21" spans="1:4" x14ac:dyDescent="0.3">
      <c r="A21" s="24">
        <v>19</v>
      </c>
      <c r="B21" s="18">
        <v>46</v>
      </c>
      <c r="C21" s="3">
        <f t="shared" si="0"/>
        <v>58.392302879310833</v>
      </c>
      <c r="D21" s="3">
        <f t="shared" si="1"/>
        <v>153.56917065257556</v>
      </c>
    </row>
    <row r="22" spans="1:4" x14ac:dyDescent="0.3">
      <c r="A22" s="24">
        <v>20</v>
      </c>
      <c r="B22" s="18">
        <v>75</v>
      </c>
      <c r="C22" s="3">
        <f>$E$2*B21+(1-$E$2)*C21</f>
        <v>57.514099033564079</v>
      </c>
      <c r="D22" s="3">
        <f>(B22-C22)^2</f>
        <v>305.75673260800465</v>
      </c>
    </row>
    <row r="23" spans="1:4" x14ac:dyDescent="0.3">
      <c r="A23" s="24">
        <v>21</v>
      </c>
      <c r="B23" s="1"/>
      <c r="C23" s="63">
        <f>$E$2*B22+(1-$E$2)*C22</f>
        <v>58.753270285640909</v>
      </c>
      <c r="D23" s="3">
        <f>($B$22-C23)^2</f>
        <v>263.95622641143865</v>
      </c>
    </row>
    <row r="24" spans="1:4" x14ac:dyDescent="0.3">
      <c r="A24" s="24">
        <v>22</v>
      </c>
      <c r="B24" s="1"/>
      <c r="C24" s="63">
        <f>$E$2*B22+(1-$E$2)*C23</f>
        <v>59.904625336829888</v>
      </c>
      <c r="D24" s="3">
        <f t="shared" ref="D24:D26" si="2">($B$22-C24)^2</f>
        <v>227.87033622147817</v>
      </c>
    </row>
    <row r="25" spans="1:4" x14ac:dyDescent="0.3">
      <c r="A25" s="24">
        <v>23</v>
      </c>
      <c r="B25" s="1"/>
      <c r="C25" s="63">
        <f>$E$2*B22+(1-$E$2)*C24</f>
        <v>60.974387447334514</v>
      </c>
      <c r="D25" s="3">
        <f t="shared" si="2"/>
        <v>196.71780747748764</v>
      </c>
    </row>
    <row r="26" spans="1:4" ht="15" thickBot="1" x14ac:dyDescent="0.35">
      <c r="A26" s="26">
        <v>24</v>
      </c>
      <c r="B26" s="14"/>
      <c r="C26" s="63">
        <f>$E$2*B22+(1-$E$2)*C25</f>
        <v>61.968338854321892</v>
      </c>
      <c r="D26" s="3">
        <f t="shared" si="2"/>
        <v>169.82419221577643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D634-7A49-4D04-B8BD-385FBE788378}">
  <dimension ref="A1:M26"/>
  <sheetViews>
    <sheetView zoomScale="87" workbookViewId="0">
      <selection activeCell="S9" sqref="S9"/>
    </sheetView>
  </sheetViews>
  <sheetFormatPr defaultRowHeight="14.4" x14ac:dyDescent="0.3"/>
  <cols>
    <col min="5" max="5" width="10.33203125" bestFit="1" customWidth="1"/>
  </cols>
  <sheetData>
    <row r="1" spans="1:13" ht="15" thickBot="1" x14ac:dyDescent="0.35">
      <c r="A1" s="42" t="s">
        <v>8</v>
      </c>
      <c r="B1" s="43" t="s">
        <v>9</v>
      </c>
      <c r="C1" s="59" t="s">
        <v>16</v>
      </c>
      <c r="D1" s="59" t="s">
        <v>17</v>
      </c>
      <c r="E1" s="59" t="s">
        <v>18</v>
      </c>
      <c r="F1" s="59" t="s">
        <v>19</v>
      </c>
      <c r="G1" s="59" t="s">
        <v>11</v>
      </c>
      <c r="I1" s="57" t="s">
        <v>14</v>
      </c>
      <c r="J1" s="58" t="s">
        <v>15</v>
      </c>
      <c r="K1" s="58" t="s">
        <v>20</v>
      </c>
      <c r="L1" s="58" t="s">
        <v>21</v>
      </c>
      <c r="M1" s="35" t="s">
        <v>22</v>
      </c>
    </row>
    <row r="2" spans="1:13" x14ac:dyDescent="0.3">
      <c r="A2" s="40">
        <v>0</v>
      </c>
      <c r="B2" s="41"/>
      <c r="C2" s="5"/>
      <c r="D2" s="5"/>
      <c r="E2" s="5"/>
      <c r="F2" s="5"/>
      <c r="G2" s="5"/>
      <c r="I2" s="111">
        <f>AVERAGE(G4:G22)</f>
        <v>17.397148547188046</v>
      </c>
      <c r="J2" s="114">
        <f>SQRT(I2)</f>
        <v>4.1709889171739647</v>
      </c>
      <c r="K2" s="114">
        <v>0.83309124382915101</v>
      </c>
      <c r="L2" s="114">
        <v>0.52928422433519196</v>
      </c>
      <c r="M2" s="30">
        <v>1</v>
      </c>
    </row>
    <row r="3" spans="1:13" x14ac:dyDescent="0.3">
      <c r="A3" s="24">
        <v>1</v>
      </c>
      <c r="B3" s="18">
        <v>53</v>
      </c>
      <c r="C3" s="1">
        <v>53</v>
      </c>
      <c r="D3" s="1">
        <v>0</v>
      </c>
      <c r="E3" s="1"/>
      <c r="F3" s="1"/>
      <c r="G3" s="1"/>
      <c r="I3" s="112"/>
      <c r="J3" s="115"/>
      <c r="K3" s="115"/>
      <c r="L3" s="115"/>
      <c r="M3" s="10">
        <v>2</v>
      </c>
    </row>
    <row r="4" spans="1:13" x14ac:dyDescent="0.3">
      <c r="A4" s="24">
        <v>2</v>
      </c>
      <c r="B4" s="18">
        <v>85</v>
      </c>
      <c r="C4" s="3">
        <f t="shared" ref="C4:C22" si="0">$K$2*B4+(1-$K$2)*(C3+D3)</f>
        <v>79.658919802532836</v>
      </c>
      <c r="D4" s="3">
        <f t="shared" ref="D4:D22" si="1">$L$2*(C4-C3)+(1-$L$2)*D3</f>
        <v>14.110145689297681</v>
      </c>
      <c r="E4" s="3">
        <f t="shared" ref="E4:E22" si="2">C4+D4</f>
        <v>93.769065491830517</v>
      </c>
      <c r="F4" s="3">
        <f>B4-E4</f>
        <v>-8.7690654918305171</v>
      </c>
      <c r="G4" s="3">
        <f>F4^2</f>
        <v>76.896509600012791</v>
      </c>
      <c r="I4" s="112"/>
      <c r="J4" s="115"/>
      <c r="K4" s="115"/>
      <c r="L4" s="115"/>
      <c r="M4" s="10">
        <v>3</v>
      </c>
    </row>
    <row r="5" spans="1:13" ht="15" thickBot="1" x14ac:dyDescent="0.35">
      <c r="A5" s="24">
        <v>3</v>
      </c>
      <c r="B5" s="18">
        <v>43</v>
      </c>
      <c r="C5" s="3">
        <f t="shared" si="0"/>
        <v>51.473801573197804</v>
      </c>
      <c r="D5" s="3">
        <f t="shared" si="1"/>
        <v>-8.2760702669280661</v>
      </c>
      <c r="E5" s="3">
        <f>C5+D5</f>
        <v>43.197731306269738</v>
      </c>
      <c r="F5" s="3">
        <f t="shared" ref="F5:F22" si="3">B5-E5</f>
        <v>-0.19773130626973767</v>
      </c>
      <c r="G5" s="3">
        <f t="shared" ref="G5:G22" si="4">F5^2</f>
        <v>3.9097669479136801E-2</v>
      </c>
      <c r="I5" s="113"/>
      <c r="J5" s="116"/>
      <c r="K5" s="116"/>
      <c r="L5" s="116"/>
      <c r="M5" s="31">
        <v>4</v>
      </c>
    </row>
    <row r="6" spans="1:13" x14ac:dyDescent="0.3">
      <c r="A6" s="24">
        <v>4</v>
      </c>
      <c r="B6" s="18">
        <v>55</v>
      </c>
      <c r="C6" s="3">
        <f t="shared" si="0"/>
        <v>53.03009801233533</v>
      </c>
      <c r="D6" s="3">
        <f t="shared" si="1"/>
        <v>-3.071953681528973</v>
      </c>
      <c r="E6" s="3">
        <f t="shared" si="2"/>
        <v>49.958144330806356</v>
      </c>
      <c r="F6" s="3">
        <f t="shared" si="3"/>
        <v>5.0418556691936445</v>
      </c>
      <c r="G6" s="3">
        <f t="shared" si="4"/>
        <v>25.420308588980092</v>
      </c>
    </row>
    <row r="7" spans="1:13" x14ac:dyDescent="0.3">
      <c r="A7" s="24">
        <v>5</v>
      </c>
      <c r="B7" s="18">
        <v>58</v>
      </c>
      <c r="C7" s="3">
        <f t="shared" si="0"/>
        <v>56.657743872949396</v>
      </c>
      <c r="D7" s="3">
        <f t="shared" si="1"/>
        <v>0.4740386654906128</v>
      </c>
      <c r="E7" s="3">
        <f t="shared" si="2"/>
        <v>57.131782538440007</v>
      </c>
      <c r="F7" s="3">
        <f t="shared" si="3"/>
        <v>0.86821746155999335</v>
      </c>
      <c r="G7" s="3">
        <f t="shared" si="4"/>
        <v>0.75380156055767855</v>
      </c>
    </row>
    <row r="8" spans="1:13" x14ac:dyDescent="0.3">
      <c r="A8" s="24">
        <v>6</v>
      </c>
      <c r="B8" s="18">
        <v>73</v>
      </c>
      <c r="C8" s="3">
        <f t="shared" si="0"/>
        <v>70.351455560842481</v>
      </c>
      <c r="D8" s="3">
        <f t="shared" si="1"/>
        <v>7.471003047117768</v>
      </c>
      <c r="E8" s="3">
        <f t="shared" si="2"/>
        <v>77.822458607960243</v>
      </c>
      <c r="F8" s="3">
        <f t="shared" si="3"/>
        <v>-4.8224586079602432</v>
      </c>
      <c r="G8" s="3">
        <f t="shared" si="4"/>
        <v>23.256107025489847</v>
      </c>
    </row>
    <row r="9" spans="1:13" x14ac:dyDescent="0.3">
      <c r="A9" s="24">
        <v>7</v>
      </c>
      <c r="B9" s="18">
        <v>35</v>
      </c>
      <c r="C9" s="3">
        <f t="shared" si="0"/>
        <v>42.147443302432308</v>
      </c>
      <c r="D9" s="3">
        <f t="shared" si="1"/>
        <v>-11.41121975701469</v>
      </c>
      <c r="E9" s="3">
        <f t="shared" si="2"/>
        <v>30.736223545417616</v>
      </c>
      <c r="F9" s="3">
        <f t="shared" si="3"/>
        <v>4.2637764545823842</v>
      </c>
      <c r="G9" s="3">
        <f t="shared" si="4"/>
        <v>18.179789654651128</v>
      </c>
    </row>
    <row r="10" spans="1:13" x14ac:dyDescent="0.3">
      <c r="A10" s="24">
        <v>8</v>
      </c>
      <c r="B10" s="18">
        <v>86</v>
      </c>
      <c r="C10" s="3">
        <f t="shared" si="0"/>
        <v>76.775991810661807</v>
      </c>
      <c r="D10" s="3">
        <f t="shared" si="1"/>
        <v>12.956903277827067</v>
      </c>
      <c r="E10" s="3">
        <f t="shared" si="2"/>
        <v>89.732895088488874</v>
      </c>
      <c r="F10" s="3">
        <f t="shared" si="3"/>
        <v>-3.7328950884888741</v>
      </c>
      <c r="G10" s="3">
        <f t="shared" si="4"/>
        <v>13.93450574166436</v>
      </c>
    </row>
    <row r="11" spans="1:13" x14ac:dyDescent="0.3">
      <c r="A11" s="24">
        <v>9</v>
      </c>
      <c r="B11" s="18">
        <v>67</v>
      </c>
      <c r="C11" s="3">
        <f t="shared" si="0"/>
        <v>70.794319243382077</v>
      </c>
      <c r="D11" s="3">
        <f t="shared" si="1"/>
        <v>2.9330138516365136</v>
      </c>
      <c r="E11" s="3">
        <f t="shared" si="2"/>
        <v>73.727333095018594</v>
      </c>
      <c r="F11" s="3">
        <f t="shared" si="3"/>
        <v>-6.7273330950185937</v>
      </c>
      <c r="G11" s="3">
        <f t="shared" si="4"/>
        <v>45.257010571332451</v>
      </c>
    </row>
    <row r="12" spans="1:13" x14ac:dyDescent="0.3">
      <c r="A12" s="24">
        <v>10</v>
      </c>
      <c r="B12" s="18">
        <v>39</v>
      </c>
      <c r="C12" s="3">
        <f t="shared" si="0"/>
        <v>44.796295972020317</v>
      </c>
      <c r="D12" s="3">
        <f t="shared" si="1"/>
        <v>-12.379727691222271</v>
      </c>
      <c r="E12" s="3">
        <f t="shared" si="2"/>
        <v>32.416568280798046</v>
      </c>
      <c r="F12" s="3">
        <f t="shared" si="3"/>
        <v>6.583431719201954</v>
      </c>
      <c r="G12" s="3">
        <f t="shared" si="4"/>
        <v>43.341573201394397</v>
      </c>
    </row>
    <row r="13" spans="1:13" x14ac:dyDescent="0.3">
      <c r="A13" s="24">
        <v>11</v>
      </c>
      <c r="B13" s="18">
        <v>81</v>
      </c>
      <c r="C13" s="3">
        <f t="shared" si="0"/>
        <v>72.890999841236635</v>
      </c>
      <c r="D13" s="3">
        <f t="shared" si="1"/>
        <v>9.0427504226522792</v>
      </c>
      <c r="E13" s="3">
        <f t="shared" si="2"/>
        <v>81.933750263888911</v>
      </c>
      <c r="F13" s="3">
        <f t="shared" si="3"/>
        <v>-0.93375026388891058</v>
      </c>
      <c r="G13" s="3">
        <f t="shared" si="4"/>
        <v>0.87188955531261014</v>
      </c>
    </row>
    <row r="14" spans="1:13" x14ac:dyDescent="0.3">
      <c r="A14" s="24">
        <v>12</v>
      </c>
      <c r="B14" s="18">
        <v>67</v>
      </c>
      <c r="C14" s="3">
        <f t="shared" si="0"/>
        <v>69.492573681511786</v>
      </c>
      <c r="D14" s="3">
        <f t="shared" si="1"/>
        <v>2.4578319254316465</v>
      </c>
      <c r="E14" s="3">
        <f t="shared" si="2"/>
        <v>71.950405606943434</v>
      </c>
      <c r="F14" s="3">
        <f t="shared" si="3"/>
        <v>-4.9504056069434341</v>
      </c>
      <c r="G14" s="3">
        <f t="shared" si="4"/>
        <v>24.506515673256992</v>
      </c>
    </row>
    <row r="15" spans="1:13" x14ac:dyDescent="0.3">
      <c r="A15" s="24">
        <v>13</v>
      </c>
      <c r="B15" s="18">
        <v>58</v>
      </c>
      <c r="C15" s="3">
        <f t="shared" si="0"/>
        <v>60.328444847933767</v>
      </c>
      <c r="D15" s="3">
        <f t="shared" si="1"/>
        <v>-3.6934885601548233</v>
      </c>
      <c r="E15" s="3">
        <f t="shared" si="2"/>
        <v>56.634956287778941</v>
      </c>
      <c r="F15" s="3">
        <f t="shared" si="3"/>
        <v>1.365043712221059</v>
      </c>
      <c r="G15" s="3">
        <f t="shared" si="4"/>
        <v>1.8633443362742494</v>
      </c>
    </row>
    <row r="16" spans="1:13" x14ac:dyDescent="0.3">
      <c r="A16" s="24">
        <v>14</v>
      </c>
      <c r="B16" s="18">
        <v>51</v>
      </c>
      <c r="C16" s="3">
        <f t="shared" si="0"/>
        <v>51.940523545070292</v>
      </c>
      <c r="D16" s="3">
        <f t="shared" si="1"/>
        <v>-6.1781777530730997</v>
      </c>
      <c r="E16" s="3">
        <f t="shared" si="2"/>
        <v>45.762345791997191</v>
      </c>
      <c r="F16" s="3">
        <f t="shared" si="3"/>
        <v>5.2376542080028088</v>
      </c>
      <c r="G16" s="3">
        <f t="shared" si="4"/>
        <v>27.433021602609529</v>
      </c>
    </row>
    <row r="17" spans="1:7" x14ac:dyDescent="0.3">
      <c r="A17" s="24">
        <v>15</v>
      </c>
      <c r="B17" s="18">
        <v>67</v>
      </c>
      <c r="C17" s="3">
        <f t="shared" si="0"/>
        <v>63.455249552155657</v>
      </c>
      <c r="D17" s="3">
        <f t="shared" si="1"/>
        <v>3.1863970898595744</v>
      </c>
      <c r="E17" s="3">
        <f t="shared" si="2"/>
        <v>66.641646642015232</v>
      </c>
      <c r="F17" s="3">
        <f t="shared" si="3"/>
        <v>0.35835335798476819</v>
      </c>
      <c r="G17" s="3">
        <f t="shared" si="4"/>
        <v>0.12841712917895942</v>
      </c>
    </row>
    <row r="18" spans="1:7" x14ac:dyDescent="0.3">
      <c r="A18" s="24">
        <v>16</v>
      </c>
      <c r="B18" s="18">
        <v>51</v>
      </c>
      <c r="C18" s="3">
        <f t="shared" si="0"/>
        <v>53.610727785482702</v>
      </c>
      <c r="D18" s="3">
        <f t="shared" si="1"/>
        <v>-3.7106626894950718</v>
      </c>
      <c r="E18" s="3">
        <f t="shared" si="2"/>
        <v>49.900065095987628</v>
      </c>
      <c r="F18" s="3">
        <f t="shared" si="3"/>
        <v>1.0999349040123718</v>
      </c>
      <c r="G18" s="3">
        <f t="shared" si="4"/>
        <v>1.2098567930647055</v>
      </c>
    </row>
    <row r="19" spans="1:7" x14ac:dyDescent="0.3">
      <c r="A19" s="24">
        <v>17</v>
      </c>
      <c r="B19" s="18">
        <v>65</v>
      </c>
      <c r="C19" s="3">
        <f t="shared" si="0"/>
        <v>62.47968864691051</v>
      </c>
      <c r="D19" s="3">
        <f t="shared" si="1"/>
        <v>2.9475336040838584</v>
      </c>
      <c r="E19" s="3">
        <f t="shared" si="2"/>
        <v>65.427222250994362</v>
      </c>
      <c r="F19" s="3">
        <f t="shared" si="3"/>
        <v>-0.42722225099436173</v>
      </c>
      <c r="G19" s="3">
        <f t="shared" si="4"/>
        <v>0.1825188517446894</v>
      </c>
    </row>
    <row r="20" spans="1:7" x14ac:dyDescent="0.3">
      <c r="A20" s="24">
        <v>18</v>
      </c>
      <c r="B20" s="18">
        <v>56</v>
      </c>
      <c r="C20" s="3">
        <f t="shared" si="0"/>
        <v>57.573485940059619</v>
      </c>
      <c r="D20" s="3">
        <f t="shared" si="1"/>
        <v>-1.2093251273823724</v>
      </c>
      <c r="E20" s="3">
        <f t="shared" si="2"/>
        <v>56.364160812677248</v>
      </c>
      <c r="F20" s="3">
        <f t="shared" si="3"/>
        <v>-0.3641608126772482</v>
      </c>
      <c r="G20" s="3">
        <f t="shared" si="4"/>
        <v>0.13261309748975386</v>
      </c>
    </row>
    <row r="21" spans="1:7" x14ac:dyDescent="0.3">
      <c r="A21" s="24">
        <v>19</v>
      </c>
      <c r="B21" s="18">
        <v>46</v>
      </c>
      <c r="C21" s="3">
        <f t="shared" si="0"/>
        <v>47.729869189998617</v>
      </c>
      <c r="D21" s="3">
        <f t="shared" si="1"/>
        <v>-5.7793194715756773</v>
      </c>
      <c r="E21" s="3">
        <f t="shared" si="2"/>
        <v>41.950549718422941</v>
      </c>
      <c r="F21" s="3">
        <f t="shared" si="3"/>
        <v>4.0494502815770588</v>
      </c>
      <c r="G21" s="3">
        <f t="shared" si="4"/>
        <v>16.398047582964519</v>
      </c>
    </row>
    <row r="22" spans="1:7" x14ac:dyDescent="0.3">
      <c r="A22" s="24">
        <v>20</v>
      </c>
      <c r="B22" s="18">
        <v>75</v>
      </c>
      <c r="C22" s="3">
        <f t="shared" si="0"/>
        <v>69.483757361371659</v>
      </c>
      <c r="D22" s="3">
        <f t="shared" si="1"/>
        <v>8.7935729791822137</v>
      </c>
      <c r="E22" s="3">
        <f t="shared" si="2"/>
        <v>78.277330340553874</v>
      </c>
      <c r="F22" s="3">
        <f t="shared" si="3"/>
        <v>-3.2773303405538741</v>
      </c>
      <c r="G22" s="3">
        <f t="shared" si="4"/>
        <v>10.740894161114973</v>
      </c>
    </row>
    <row r="23" spans="1:7" x14ac:dyDescent="0.3">
      <c r="A23" s="24">
        <v>21</v>
      </c>
      <c r="B23" s="1"/>
      <c r="C23" s="1"/>
      <c r="D23" s="1"/>
      <c r="E23" s="63">
        <f>$C$22+M2*$D$22</f>
        <v>78.277330340553874</v>
      </c>
      <c r="F23" s="1"/>
      <c r="G23" s="1"/>
    </row>
    <row r="24" spans="1:7" x14ac:dyDescent="0.3">
      <c r="A24" s="24">
        <v>22</v>
      </c>
      <c r="B24" s="1"/>
      <c r="C24" s="1"/>
      <c r="D24" s="1"/>
      <c r="E24" s="63">
        <f>$C$22+M3*$D$22</f>
        <v>87.07090331973609</v>
      </c>
      <c r="F24" s="1"/>
      <c r="G24" s="1"/>
    </row>
    <row r="25" spans="1:7" x14ac:dyDescent="0.3">
      <c r="A25" s="24">
        <v>23</v>
      </c>
      <c r="B25" s="1"/>
      <c r="C25" s="1"/>
      <c r="D25" s="1"/>
      <c r="E25" s="63">
        <f>$C$22+M4*$D$22</f>
        <v>95.864476298918305</v>
      </c>
      <c r="F25" s="1"/>
      <c r="G25" s="1"/>
    </row>
    <row r="26" spans="1:7" ht="15" thickBot="1" x14ac:dyDescent="0.35">
      <c r="A26" s="26">
        <v>24</v>
      </c>
      <c r="B26" s="14"/>
      <c r="C26" s="14"/>
      <c r="D26" s="14"/>
      <c r="E26" s="91">
        <f>$C$22+M5*$D$22</f>
        <v>104.65804927810052</v>
      </c>
      <c r="F26" s="14"/>
      <c r="G26" s="14"/>
    </row>
  </sheetData>
  <mergeCells count="4">
    <mergeCell ref="I2:I5"/>
    <mergeCell ref="J2:J5"/>
    <mergeCell ref="K2:K5"/>
    <mergeCell ref="L2:L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9BFB-A4F2-48A6-93B1-A1CEDCA90D7C}">
  <dimension ref="A1:Q43"/>
  <sheetViews>
    <sheetView zoomScale="71" workbookViewId="0">
      <selection activeCell="L2" sqref="L2:Q3"/>
    </sheetView>
  </sheetViews>
  <sheetFormatPr defaultRowHeight="14.4" x14ac:dyDescent="0.3"/>
  <cols>
    <col min="1" max="1" width="10.77734375" bestFit="1" customWidth="1"/>
    <col min="3" max="3" width="10.44140625" bestFit="1" customWidth="1"/>
    <col min="4" max="4" width="13.6640625" bestFit="1" customWidth="1"/>
    <col min="5" max="5" width="10" bestFit="1" customWidth="1"/>
    <col min="6" max="6" width="13.6640625" bestFit="1" customWidth="1"/>
    <col min="7" max="7" width="9.109375" customWidth="1"/>
    <col min="10" max="10" width="11" customWidth="1"/>
    <col min="15" max="15" width="13.21875" bestFit="1" customWidth="1"/>
    <col min="16" max="16" width="13.77734375" bestFit="1" customWidth="1"/>
  </cols>
  <sheetData>
    <row r="1" spans="1:17" ht="15" thickBot="1" x14ac:dyDescent="0.35">
      <c r="C1" t="s">
        <v>26</v>
      </c>
      <c r="D1" t="s">
        <v>27</v>
      </c>
      <c r="E1" t="s">
        <v>28</v>
      </c>
    </row>
    <row r="2" spans="1:17" x14ac:dyDescent="0.3">
      <c r="A2" s="70" t="s">
        <v>8</v>
      </c>
      <c r="B2" s="71" t="s">
        <v>9</v>
      </c>
      <c r="C2" s="58" t="s">
        <v>16</v>
      </c>
      <c r="D2" s="58" t="s">
        <v>23</v>
      </c>
      <c r="E2" s="58" t="s">
        <v>17</v>
      </c>
      <c r="F2" s="58" t="s">
        <v>41</v>
      </c>
      <c r="G2" s="58" t="s">
        <v>12</v>
      </c>
      <c r="H2" s="58" t="s">
        <v>24</v>
      </c>
      <c r="I2" s="35" t="s">
        <v>11</v>
      </c>
      <c r="J2" s="35" t="s">
        <v>43</v>
      </c>
      <c r="L2" s="78" t="s">
        <v>14</v>
      </c>
      <c r="M2" s="55" t="s">
        <v>15</v>
      </c>
      <c r="N2" s="55" t="s">
        <v>42</v>
      </c>
      <c r="O2" s="55" t="s">
        <v>20</v>
      </c>
      <c r="P2" s="55" t="s">
        <v>25</v>
      </c>
      <c r="Q2" s="56" t="s">
        <v>21</v>
      </c>
    </row>
    <row r="3" spans="1:17" ht="15" thickBot="1" x14ac:dyDescent="0.35">
      <c r="A3" s="83">
        <v>-3</v>
      </c>
      <c r="B3" s="72"/>
      <c r="C3" s="72"/>
      <c r="D3" s="72"/>
      <c r="E3" s="72"/>
      <c r="F3" s="3">
        <f>P39</f>
        <v>1.0123505685126022</v>
      </c>
      <c r="G3" s="72"/>
      <c r="H3" s="72"/>
      <c r="I3" s="72"/>
      <c r="J3" s="10"/>
      <c r="L3" s="89">
        <f>AVERAGE(_xlfn.ANCHORARRAY(I7))</f>
        <v>25.316779560357915</v>
      </c>
      <c r="M3" s="13">
        <f>SQRT(L3)</f>
        <v>5.0315782375272589</v>
      </c>
      <c r="N3" s="53">
        <f>AVERAGE(J7:J26)</f>
        <v>7.2945745560137762E-2</v>
      </c>
      <c r="O3" s="53">
        <v>0.20151645639317214</v>
      </c>
      <c r="P3" s="53">
        <v>0</v>
      </c>
      <c r="Q3" s="54">
        <v>7.5578304231212201E-2</v>
      </c>
    </row>
    <row r="4" spans="1:17" x14ac:dyDescent="0.3">
      <c r="A4" s="83">
        <v>-2</v>
      </c>
      <c r="B4" s="72"/>
      <c r="C4" s="72"/>
      <c r="D4" s="72"/>
      <c r="E4" s="72"/>
      <c r="F4" s="3">
        <f t="shared" ref="F4:F6" si="0">P40</f>
        <v>1.0293134602212821</v>
      </c>
      <c r="G4" s="72"/>
      <c r="H4" s="72"/>
      <c r="I4" s="72"/>
      <c r="J4" s="10"/>
    </row>
    <row r="5" spans="1:17" x14ac:dyDescent="0.3">
      <c r="A5" s="83">
        <v>-1</v>
      </c>
      <c r="B5" s="72"/>
      <c r="C5" s="72"/>
      <c r="D5" s="72"/>
      <c r="E5" s="72"/>
      <c r="F5" s="3">
        <f t="shared" si="0"/>
        <v>0.88226777497899689</v>
      </c>
      <c r="G5" s="72"/>
      <c r="H5" s="72"/>
      <c r="I5" s="72"/>
      <c r="J5" s="10"/>
    </row>
    <row r="6" spans="1:17" x14ac:dyDescent="0.3">
      <c r="A6" s="40">
        <v>0</v>
      </c>
      <c r="B6" s="41"/>
      <c r="C6" s="3">
        <f>B42</f>
        <v>69.456249999999997</v>
      </c>
      <c r="D6" s="3"/>
      <c r="E6" s="3">
        <f>B41</f>
        <v>0.9375</v>
      </c>
      <c r="F6" s="3">
        <f t="shared" si="0"/>
        <v>1.0760681962871192</v>
      </c>
      <c r="G6" s="3"/>
      <c r="H6" s="3"/>
      <c r="I6" s="3"/>
      <c r="J6" s="11"/>
    </row>
    <row r="7" spans="1:17" x14ac:dyDescent="0.3">
      <c r="A7" s="24">
        <v>1</v>
      </c>
      <c r="B7" s="18">
        <v>53</v>
      </c>
      <c r="C7" s="3">
        <f t="shared" ref="C7:C26" si="1">$O$3*(B7/F3)+(1-$O$3)*(C6+E6)</f>
        <v>66.758323739780622</v>
      </c>
      <c r="D7" s="3">
        <f t="shared" ref="D7:D26" si="2">$P$3*(B7/C7)+(1-$P$3)*F3</f>
        <v>1.0123505685126022</v>
      </c>
      <c r="E7" s="3">
        <f t="shared" ref="E7:E26" si="3">$Q$3*(C7-C6)+(1-$Q$3)*E6</f>
        <v>0.66274064809500211</v>
      </c>
      <c r="F7" s="3">
        <f>D7/SUM($D$7:$D$10)*4</f>
        <v>1.012350568512602</v>
      </c>
      <c r="G7" s="3">
        <f>(C7+A7*E7)*F3</f>
        <v>68.253752862790634</v>
      </c>
      <c r="H7" s="3">
        <f>C7-G7</f>
        <v>-1.4954291230100125</v>
      </c>
      <c r="I7" s="3" cm="1">
        <f t="array" ref="I7:I26">H7:H26^2</f>
        <v>2.2363082619464953</v>
      </c>
      <c r="J7" s="11">
        <f>ABS(H7/B7)</f>
        <v>2.8215643830377595E-2</v>
      </c>
    </row>
    <row r="8" spans="1:17" x14ac:dyDescent="0.3">
      <c r="A8" s="24">
        <v>2</v>
      </c>
      <c r="B8" s="18">
        <v>85</v>
      </c>
      <c r="C8" s="3">
        <f t="shared" si="1"/>
        <v>70.475701245244835</v>
      </c>
      <c r="D8" s="3">
        <f t="shared" si="2"/>
        <v>1.0293134602212821</v>
      </c>
      <c r="E8" s="3">
        <f t="shared" si="3"/>
        <v>0.89360492181712647</v>
      </c>
      <c r="F8" s="3">
        <f t="shared" ref="F8:F10" si="4">D8/SUM($D$7:$D$10)*4</f>
        <v>1.0293134602212819</v>
      </c>
      <c r="G8" s="3">
        <f t="shared" ref="G8:G26" si="5">(C8+A8*E8)*F4</f>
        <v>74.381187058557003</v>
      </c>
      <c r="H8" s="3">
        <f t="shared" ref="H8:H26" si="6">C8-G8</f>
        <v>-3.9054858133121684</v>
      </c>
      <c r="I8" s="3">
        <v>15.252819437982609</v>
      </c>
      <c r="J8" s="11">
        <f t="shared" ref="J8:J26" si="7">ABS(H8/B8)</f>
        <v>4.5946891921319628E-2</v>
      </c>
    </row>
    <row r="9" spans="1:17" x14ac:dyDescent="0.3">
      <c r="A9" s="24">
        <v>3</v>
      </c>
      <c r="B9" s="18">
        <v>43</v>
      </c>
      <c r="C9" s="3">
        <f t="shared" si="1"/>
        <v>66.808733123985064</v>
      </c>
      <c r="D9" s="3">
        <f t="shared" si="2"/>
        <v>0.88226777497899689</v>
      </c>
      <c r="E9" s="3">
        <f t="shared" si="3"/>
        <v>0.54892454489879561</v>
      </c>
      <c r="F9" s="3">
        <f t="shared" si="4"/>
        <v>0.88226777497899667</v>
      </c>
      <c r="G9" s="3">
        <f t="shared" si="5"/>
        <v>60.396087633041567</v>
      </c>
      <c r="H9" s="3">
        <f t="shared" si="6"/>
        <v>6.4126454909434969</v>
      </c>
      <c r="I9" s="3">
        <v>41.12202219251796</v>
      </c>
      <c r="J9" s="11">
        <f t="shared" si="7"/>
        <v>0.14913129048705806</v>
      </c>
    </row>
    <row r="10" spans="1:17" x14ac:dyDescent="0.3">
      <c r="A10" s="24">
        <v>4</v>
      </c>
      <c r="B10" s="18">
        <v>55</v>
      </c>
      <c r="C10" s="3">
        <f>$O$3*(B10/F6)+(1-$O$3)*(C9+E9)</f>
        <v>64.083890744017936</v>
      </c>
      <c r="D10" s="3">
        <f>$P$3*(B10/C10)+(1-$P$3)*F6</f>
        <v>1.0760681962871192</v>
      </c>
      <c r="E10" s="3">
        <f t="shared" si="3"/>
        <v>0.30149879226919873</v>
      </c>
      <c r="F10" s="3">
        <f t="shared" si="4"/>
        <v>1.076068196287119</v>
      </c>
      <c r="G10" s="3">
        <f t="shared" si="5"/>
        <v>70.256369770295649</v>
      </c>
      <c r="H10" s="3">
        <f t="shared" si="6"/>
        <v>-6.1724790262777134</v>
      </c>
      <c r="I10" s="3">
        <v>38.099497329838272</v>
      </c>
      <c r="J10" s="11">
        <f t="shared" si="7"/>
        <v>0.11222689138686752</v>
      </c>
    </row>
    <row r="11" spans="1:17" x14ac:dyDescent="0.3">
      <c r="A11" s="24">
        <v>5</v>
      </c>
      <c r="B11" s="18">
        <v>58</v>
      </c>
      <c r="C11" s="3">
        <f t="shared" si="1"/>
        <v>62.956036671486466</v>
      </c>
      <c r="D11" s="3">
        <f t="shared" si="2"/>
        <v>1.012350568512602</v>
      </c>
      <c r="E11" s="3">
        <f>$Q$3*(C11-C10)+(1-$Q$3)*E10</f>
        <v>0.19347072659953907</v>
      </c>
      <c r="F11" s="3">
        <f>D11/SUM($D$11:$D$14)*4</f>
        <v>1.0123505685126022</v>
      </c>
      <c r="G11" s="3">
        <f>(C11+A11*E11)*F7</f>
        <v>64.712880515997483</v>
      </c>
      <c r="H11" s="3">
        <f t="shared" si="6"/>
        <v>-1.7568438445110175</v>
      </c>
      <c r="I11" s="3">
        <v>3.0865002939962523</v>
      </c>
      <c r="J11" s="11">
        <f t="shared" si="7"/>
        <v>3.0290411112258921E-2</v>
      </c>
    </row>
    <row r="12" spans="1:17" x14ac:dyDescent="0.3">
      <c r="A12" s="24">
        <v>6</v>
      </c>
      <c r="B12" s="18">
        <v>73</v>
      </c>
      <c r="C12" s="3">
        <f t="shared" si="1"/>
        <v>64.71560281192103</v>
      </c>
      <c r="D12" s="3">
        <f t="shared" si="2"/>
        <v>1.0293134602212819</v>
      </c>
      <c r="E12" s="3">
        <f t="shared" si="3"/>
        <v>0.31183356224146885</v>
      </c>
      <c r="F12" s="3">
        <f t="shared" ref="F12:F14" si="8">D12/SUM($D$11:$D$14)*4</f>
        <v>1.0293134602212821</v>
      </c>
      <c r="G12" s="3">
        <f t="shared" si="5"/>
        <v>68.538487958427936</v>
      </c>
      <c r="H12" s="3">
        <f t="shared" si="6"/>
        <v>-3.8228851465069056</v>
      </c>
      <c r="I12" s="3">
        <v>14.614450843383125</v>
      </c>
      <c r="J12" s="11">
        <f t="shared" si="7"/>
        <v>5.2368289678176791E-2</v>
      </c>
    </row>
    <row r="13" spans="1:17" x14ac:dyDescent="0.3">
      <c r="A13" s="24">
        <v>7</v>
      </c>
      <c r="B13" s="18">
        <v>35</v>
      </c>
      <c r="C13" s="3">
        <f t="shared" si="1"/>
        <v>59.917595550574106</v>
      </c>
      <c r="D13" s="3">
        <f t="shared" si="2"/>
        <v>0.88226777497899667</v>
      </c>
      <c r="E13" s="3">
        <f t="shared" si="3"/>
        <v>-7.4359542096762654E-2</v>
      </c>
      <c r="F13" s="3">
        <f>D13/SUM($D$11:$D$14)*4</f>
        <v>0.88226777497899689</v>
      </c>
      <c r="G13" s="3">
        <f t="shared" si="5"/>
        <v>52.40412851421727</v>
      </c>
      <c r="H13" s="3">
        <f t="shared" si="6"/>
        <v>7.5134670363568361</v>
      </c>
      <c r="I13" s="3">
        <v>56.452186906420778</v>
      </c>
      <c r="J13" s="11">
        <f t="shared" si="7"/>
        <v>0.21467048675305245</v>
      </c>
    </row>
    <row r="14" spans="1:17" x14ac:dyDescent="0.3">
      <c r="A14" s="24">
        <v>8</v>
      </c>
      <c r="B14" s="18">
        <v>86</v>
      </c>
      <c r="C14" s="3">
        <f t="shared" si="1"/>
        <v>63.889152278367376</v>
      </c>
      <c r="D14" s="3">
        <f t="shared" si="2"/>
        <v>1.076068196287119</v>
      </c>
      <c r="E14" s="3">
        <f t="shared" si="3"/>
        <v>0.23142394864299753</v>
      </c>
      <c r="F14" s="3">
        <f t="shared" si="8"/>
        <v>1.0760681962871192</v>
      </c>
      <c r="G14" s="3">
        <f t="shared" si="5"/>
        <v>70.741308462447179</v>
      </c>
      <c r="H14" s="3">
        <f t="shared" si="6"/>
        <v>-6.8521561840798029</v>
      </c>
      <c r="I14" s="3">
        <v>46.952044371023085</v>
      </c>
      <c r="J14" s="11">
        <f t="shared" si="7"/>
        <v>7.9676234698602355E-2</v>
      </c>
    </row>
    <row r="15" spans="1:17" x14ac:dyDescent="0.3">
      <c r="A15" s="24">
        <v>9</v>
      </c>
      <c r="B15" s="18">
        <v>67</v>
      </c>
      <c r="C15" s="3">
        <f t="shared" si="1"/>
        <v>64.536109396770101</v>
      </c>
      <c r="D15" s="3">
        <f t="shared" si="2"/>
        <v>1.0123505685126022</v>
      </c>
      <c r="E15" s="3">
        <f t="shared" si="3"/>
        <v>0.26282924096525817</v>
      </c>
      <c r="F15" s="3">
        <f>D15/SUM($D$15:$D$18)*4</f>
        <v>1.012350568512602</v>
      </c>
      <c r="G15" s="3">
        <f t="shared" si="5"/>
        <v>67.727845021027932</v>
      </c>
      <c r="H15" s="3">
        <f t="shared" si="6"/>
        <v>-3.1917356242578308</v>
      </c>
      <c r="I15" s="3">
        <v>10.187176295156524</v>
      </c>
      <c r="J15" s="11">
        <f t="shared" si="7"/>
        <v>4.7637845138176579E-2</v>
      </c>
    </row>
    <row r="16" spans="1:17" x14ac:dyDescent="0.3">
      <c r="A16" s="24">
        <v>10</v>
      </c>
      <c r="B16" s="18">
        <v>39</v>
      </c>
      <c r="C16" s="3">
        <f t="shared" si="1"/>
        <v>59.376210177464124</v>
      </c>
      <c r="D16" s="3">
        <f t="shared" si="2"/>
        <v>1.0293134602212821</v>
      </c>
      <c r="E16" s="3">
        <f t="shared" si="3"/>
        <v>-0.14701138036837413</v>
      </c>
      <c r="F16" s="3">
        <f t="shared" ref="F16:F18" si="9">D16/SUM($D$15:$D$18)*4</f>
        <v>1.0293134602212819</v>
      </c>
      <c r="G16" s="3">
        <f t="shared" si="5"/>
        <v>59.603524426402927</v>
      </c>
      <c r="H16" s="3">
        <f t="shared" si="6"/>
        <v>-0.22731424893880359</v>
      </c>
      <c r="I16" s="3">
        <v>5.1671767770612366E-2</v>
      </c>
      <c r="J16" s="11">
        <f t="shared" si="7"/>
        <v>5.8285704856103487E-3</v>
      </c>
    </row>
    <row r="17" spans="1:10" x14ac:dyDescent="0.3">
      <c r="A17" s="24">
        <v>11</v>
      </c>
      <c r="B17" s="18">
        <v>81</v>
      </c>
      <c r="C17" s="3">
        <f t="shared" si="1"/>
        <v>65.794536984843674</v>
      </c>
      <c r="D17" s="3">
        <f t="shared" si="2"/>
        <v>0.88226777497899689</v>
      </c>
      <c r="E17" s="3">
        <f t="shared" si="3"/>
        <v>0.34918574656603385</v>
      </c>
      <c r="F17" s="3">
        <f t="shared" si="9"/>
        <v>0.88226777497899667</v>
      </c>
      <c r="G17" s="3">
        <f t="shared" si="5"/>
        <v>61.437228399840485</v>
      </c>
      <c r="H17" s="3">
        <f t="shared" si="6"/>
        <v>4.3573085850031887</v>
      </c>
      <c r="I17" s="3">
        <v>18.986138104942491</v>
      </c>
      <c r="J17" s="11">
        <f t="shared" si="7"/>
        <v>5.3793933148187513E-2</v>
      </c>
    </row>
    <row r="18" spans="1:10" x14ac:dyDescent="0.3">
      <c r="A18" s="24">
        <v>12</v>
      </c>
      <c r="B18" s="18">
        <v>67</v>
      </c>
      <c r="C18" s="3">
        <f t="shared" si="1"/>
        <v>65.361836668238055</v>
      </c>
      <c r="D18" s="3">
        <f t="shared" si="2"/>
        <v>1.0760681962871192</v>
      </c>
      <c r="E18" s="3">
        <f t="shared" si="3"/>
        <v>0.29009212380950189</v>
      </c>
      <c r="F18" s="3">
        <f t="shared" si="9"/>
        <v>1.076068196287119</v>
      </c>
      <c r="G18" s="3">
        <f t="shared" si="5"/>
        <v>74.079700590701705</v>
      </c>
      <c r="H18" s="3">
        <f t="shared" si="6"/>
        <v>-8.7178639224636498</v>
      </c>
      <c r="I18" s="3">
        <v>76.001151370593291</v>
      </c>
      <c r="J18" s="11">
        <f t="shared" si="7"/>
        <v>0.13011737197706941</v>
      </c>
    </row>
    <row r="19" spans="1:10" x14ac:dyDescent="0.3">
      <c r="A19" s="24">
        <v>13</v>
      </c>
      <c r="B19" s="18">
        <v>58</v>
      </c>
      <c r="C19" s="3">
        <f t="shared" si="1"/>
        <v>63.967347424543199</v>
      </c>
      <c r="D19" s="3">
        <f t="shared" si="2"/>
        <v>1.012350568512602</v>
      </c>
      <c r="E19" s="3">
        <f t="shared" si="3"/>
        <v>0.16277432071402603</v>
      </c>
      <c r="F19" s="3">
        <f>D19/SUM($D$19:$D$22)*4</f>
        <v>1.0123505685126022</v>
      </c>
      <c r="G19" s="3">
        <f t="shared" si="5"/>
        <v>66.899581320962696</v>
      </c>
      <c r="H19" s="3">
        <f t="shared" si="6"/>
        <v>-2.9322338964194969</v>
      </c>
      <c r="I19" s="3">
        <v>8.5979956233114656</v>
      </c>
      <c r="J19" s="11">
        <f t="shared" si="7"/>
        <v>5.0555756834818916E-2</v>
      </c>
    </row>
    <row r="20" spans="1:10" x14ac:dyDescent="0.3">
      <c r="A20" s="24">
        <v>14</v>
      </c>
      <c r="B20" s="18">
        <v>51</v>
      </c>
      <c r="C20" s="3">
        <f t="shared" si="1"/>
        <v>61.191501366532165</v>
      </c>
      <c r="D20" s="3">
        <f t="shared" si="2"/>
        <v>1.0293134602212819</v>
      </c>
      <c r="E20" s="3">
        <f t="shared" si="3"/>
        <v>-5.9321624289296548E-2</v>
      </c>
      <c r="F20" s="3">
        <f t="shared" ref="F20:F22" si="10">D20/SUM($D$19:$D$22)*4</f>
        <v>1.0293134602212821</v>
      </c>
      <c r="G20" s="3">
        <f t="shared" si="5"/>
        <v>62.130388358636246</v>
      </c>
      <c r="H20" s="3">
        <f t="shared" si="6"/>
        <v>-0.93888699210408078</v>
      </c>
      <c r="I20" s="3">
        <v>0.88150878394224819</v>
      </c>
      <c r="J20" s="11">
        <f t="shared" si="7"/>
        <v>1.8409548864785897E-2</v>
      </c>
    </row>
    <row r="21" spans="1:10" x14ac:dyDescent="0.3">
      <c r="A21" s="24">
        <v>15</v>
      </c>
      <c r="B21" s="18">
        <v>67</v>
      </c>
      <c r="C21" s="3">
        <f t="shared" si="1"/>
        <v>64.116332864194902</v>
      </c>
      <c r="D21" s="3">
        <f t="shared" si="2"/>
        <v>0.88226777497899667</v>
      </c>
      <c r="E21" s="3">
        <f t="shared" si="3"/>
        <v>0.16621560823411594</v>
      </c>
      <c r="F21" s="3">
        <f t="shared" si="10"/>
        <v>0.88226777497899689</v>
      </c>
      <c r="G21" s="3">
        <f t="shared" si="5"/>
        <v>58.767474458558368</v>
      </c>
      <c r="H21" s="3">
        <f t="shared" si="6"/>
        <v>5.348858405636534</v>
      </c>
      <c r="I21" s="3">
        <v>28.610286243548604</v>
      </c>
      <c r="J21" s="11">
        <f t="shared" si="7"/>
        <v>7.9833707546813945E-2</v>
      </c>
    </row>
    <row r="22" spans="1:10" x14ac:dyDescent="0.3">
      <c r="A22" s="24">
        <v>16</v>
      </c>
      <c r="B22" s="18">
        <v>51</v>
      </c>
      <c r="C22" s="3">
        <f t="shared" si="1"/>
        <v>60.879382324253868</v>
      </c>
      <c r="D22" s="3">
        <f t="shared" si="2"/>
        <v>1.076068196287119</v>
      </c>
      <c r="E22" s="3">
        <f t="shared" si="3"/>
        <v>-9.0989918262028124E-2</v>
      </c>
      <c r="F22" s="3">
        <f t="shared" si="10"/>
        <v>1.0760681962871192</v>
      </c>
      <c r="G22" s="3">
        <f t="shared" si="5"/>
        <v>63.943785413141249</v>
      </c>
      <c r="H22" s="3">
        <f t="shared" si="6"/>
        <v>-3.0644030888873814</v>
      </c>
      <c r="I22" s="3">
        <v>9.3905662911825249</v>
      </c>
      <c r="J22" s="11">
        <f t="shared" si="7"/>
        <v>6.0086335076223164E-2</v>
      </c>
    </row>
    <row r="23" spans="1:10" x14ac:dyDescent="0.3">
      <c r="A23" s="24">
        <v>17</v>
      </c>
      <c r="B23" s="18">
        <v>65</v>
      </c>
      <c r="C23" s="3">
        <f t="shared" si="1"/>
        <v>61.477299496998505</v>
      </c>
      <c r="D23" s="3">
        <f t="shared" si="2"/>
        <v>1.0123505685126022</v>
      </c>
      <c r="E23" s="3">
        <f t="shared" si="3"/>
        <v>-3.8923488550886995E-2</v>
      </c>
      <c r="F23" s="3">
        <f>D23/SUM($D$23:$D$26)*4</f>
        <v>1.012350568512602</v>
      </c>
      <c r="G23" s="3">
        <f t="shared" si="5"/>
        <v>61.566707428435222</v>
      </c>
      <c r="H23" s="3">
        <f t="shared" si="6"/>
        <v>-8.9407931436717547E-2</v>
      </c>
      <c r="I23" s="3">
        <v>7.9937782037927865E-3</v>
      </c>
      <c r="J23" s="11">
        <f t="shared" si="7"/>
        <v>1.3755066374879622E-3</v>
      </c>
    </row>
    <row r="24" spans="1:10" x14ac:dyDescent="0.3">
      <c r="A24" s="24">
        <v>18</v>
      </c>
      <c r="B24" s="18">
        <v>56</v>
      </c>
      <c r="C24" s="3">
        <f t="shared" si="1"/>
        <v>60.02107438853173</v>
      </c>
      <c r="D24" s="3">
        <f t="shared" si="2"/>
        <v>1.0293134602212821</v>
      </c>
      <c r="E24" s="3">
        <f t="shared" si="3"/>
        <v>-0.14604074156827987</v>
      </c>
      <c r="F24" s="3">
        <f t="shared" ref="F24:F26" si="11">D24/SUM($D$23:$D$26)*4</f>
        <v>1.0293134602212819</v>
      </c>
      <c r="G24" s="3">
        <f t="shared" si="5"/>
        <v>59.074709146393857</v>
      </c>
      <c r="H24" s="3">
        <f t="shared" si="6"/>
        <v>0.94636524213787254</v>
      </c>
      <c r="I24" s="3">
        <v>0.89560717152667413</v>
      </c>
      <c r="J24" s="11">
        <f t="shared" si="7"/>
        <v>1.689937932389058E-2</v>
      </c>
    </row>
    <row r="25" spans="1:10" x14ac:dyDescent="0.3">
      <c r="A25" s="24">
        <v>19</v>
      </c>
      <c r="B25" s="18">
        <v>46</v>
      </c>
      <c r="C25" s="3">
        <f t="shared" si="1"/>
        <v>58.315967761485524</v>
      </c>
      <c r="D25" s="3">
        <f t="shared" si="2"/>
        <v>0.88226777497899689</v>
      </c>
      <c r="E25" s="3">
        <f t="shared" si="3"/>
        <v>-0.26387229737743478</v>
      </c>
      <c r="F25" s="3">
        <f t="shared" si="11"/>
        <v>0.88226777497899667</v>
      </c>
      <c r="G25" s="3">
        <f t="shared" si="5"/>
        <v>47.02698465364282</v>
      </c>
      <c r="H25" s="3">
        <f t="shared" si="6"/>
        <v>11.288983107842704</v>
      </c>
      <c r="I25" s="3">
        <v>127.44113960915791</v>
      </c>
      <c r="J25" s="11">
        <f t="shared" si="7"/>
        <v>0.24541267625745009</v>
      </c>
    </row>
    <row r="26" spans="1:10" x14ac:dyDescent="0.3">
      <c r="A26" s="24">
        <v>20</v>
      </c>
      <c r="B26" s="18">
        <v>75</v>
      </c>
      <c r="C26" s="3">
        <f t="shared" si="1"/>
        <v>60.398974117499165</v>
      </c>
      <c r="D26" s="3">
        <f t="shared" si="2"/>
        <v>1.0760681962871192</v>
      </c>
      <c r="E26" s="3">
        <f t="shared" si="3"/>
        <v>-8.6499188517706466E-2</v>
      </c>
      <c r="F26" s="3">
        <f t="shared" si="11"/>
        <v>1.076068196287119</v>
      </c>
      <c r="G26" s="3">
        <f t="shared" si="5"/>
        <v>63.131834620838767</v>
      </c>
      <c r="H26" s="3">
        <f t="shared" si="6"/>
        <v>-2.7328605033396016</v>
      </c>
      <c r="I26" s="3">
        <v>7.4685265307135804</v>
      </c>
      <c r="J26" s="11">
        <f t="shared" si="7"/>
        <v>3.6438140044528021E-2</v>
      </c>
    </row>
    <row r="27" spans="1:10" x14ac:dyDescent="0.3">
      <c r="A27" s="24">
        <v>21</v>
      </c>
      <c r="B27" s="1"/>
      <c r="C27" s="1"/>
      <c r="D27" s="1"/>
      <c r="E27" s="1"/>
      <c r="F27" s="1"/>
      <c r="G27" s="63">
        <f>($C$26+A27*$E$26)*F23</f>
        <v>59.306018229320856</v>
      </c>
      <c r="H27" s="1"/>
      <c r="I27" s="1"/>
      <c r="J27" s="10"/>
    </row>
    <row r="28" spans="1:10" x14ac:dyDescent="0.3">
      <c r="A28" s="24">
        <v>22</v>
      </c>
      <c r="B28" s="1"/>
      <c r="C28" s="1"/>
      <c r="D28" s="1"/>
      <c r="E28" s="1"/>
      <c r="F28" s="1"/>
      <c r="G28" s="63">
        <f t="shared" ref="G28:G29" si="12">($C$26+A28*$E$26)*F24</f>
        <v>60.210711903829853</v>
      </c>
      <c r="H28" s="1"/>
      <c r="I28" s="1"/>
      <c r="J28" s="10"/>
    </row>
    <row r="29" spans="1:10" x14ac:dyDescent="0.3">
      <c r="A29" s="24">
        <v>23</v>
      </c>
      <c r="B29" s="1"/>
      <c r="C29" s="1"/>
      <c r="D29" s="1"/>
      <c r="E29" s="1"/>
      <c r="F29" s="1"/>
      <c r="G29" s="63">
        <f>($C$26+A29*$E$26)*F25</f>
        <v>51.532813234066865</v>
      </c>
      <c r="H29" s="1"/>
      <c r="I29" s="1"/>
      <c r="J29" s="10"/>
    </row>
    <row r="30" spans="1:10" ht="15" thickBot="1" x14ac:dyDescent="0.35">
      <c r="A30" s="26">
        <v>24</v>
      </c>
      <c r="B30" s="14"/>
      <c r="C30" s="14"/>
      <c r="D30" s="14"/>
      <c r="E30" s="14"/>
      <c r="F30" s="14"/>
      <c r="G30" s="91">
        <f>($C$26+A30*$E$26)*F26</f>
        <v>62.759518517764562</v>
      </c>
      <c r="H30" s="14"/>
      <c r="I30" s="14"/>
      <c r="J30" s="31"/>
    </row>
    <row r="32" spans="1:10" ht="15" thickBot="1" x14ac:dyDescent="0.35"/>
    <row r="33" spans="1:16" ht="15" thickBot="1" x14ac:dyDescent="0.35">
      <c r="B33" s="57" t="s">
        <v>29</v>
      </c>
      <c r="C33" s="58" t="s">
        <v>30</v>
      </c>
      <c r="D33" s="58" t="s">
        <v>31</v>
      </c>
      <c r="E33" s="58" t="s">
        <v>32</v>
      </c>
      <c r="F33" s="35" t="s">
        <v>33</v>
      </c>
    </row>
    <row r="34" spans="1:16" x14ac:dyDescent="0.3">
      <c r="A34" s="75">
        <v>1</v>
      </c>
      <c r="B34" s="27">
        <v>53</v>
      </c>
      <c r="C34" s="28">
        <v>58</v>
      </c>
      <c r="D34" s="28">
        <v>67</v>
      </c>
      <c r="E34" s="28">
        <v>58</v>
      </c>
      <c r="F34" s="76">
        <v>65</v>
      </c>
      <c r="G34" s="60"/>
      <c r="I34" s="18">
        <v>1</v>
      </c>
      <c r="J34" s="18">
        <v>5</v>
      </c>
      <c r="K34" s="18">
        <v>9</v>
      </c>
      <c r="L34" s="18">
        <v>13</v>
      </c>
      <c r="M34" s="18">
        <v>17</v>
      </c>
      <c r="N34" s="60"/>
    </row>
    <row r="35" spans="1:16" x14ac:dyDescent="0.3">
      <c r="A35" s="73">
        <v>2</v>
      </c>
      <c r="B35" s="24">
        <v>85</v>
      </c>
      <c r="C35" s="18">
        <v>73</v>
      </c>
      <c r="D35" s="18">
        <v>39</v>
      </c>
      <c r="E35" s="18">
        <v>51</v>
      </c>
      <c r="F35" s="77">
        <v>56</v>
      </c>
      <c r="G35" s="60"/>
      <c r="I35" s="18">
        <v>2</v>
      </c>
      <c r="J35" s="18">
        <v>6</v>
      </c>
      <c r="K35" s="18">
        <v>10</v>
      </c>
      <c r="L35" s="18">
        <v>14</v>
      </c>
      <c r="M35" s="18">
        <v>18</v>
      </c>
      <c r="N35" s="60"/>
    </row>
    <row r="36" spans="1:16" x14ac:dyDescent="0.3">
      <c r="A36" s="73">
        <v>3</v>
      </c>
      <c r="B36" s="24">
        <v>43</v>
      </c>
      <c r="C36" s="18">
        <v>35</v>
      </c>
      <c r="D36" s="18">
        <v>81</v>
      </c>
      <c r="E36" s="18">
        <v>67</v>
      </c>
      <c r="F36" s="77">
        <v>46</v>
      </c>
      <c r="G36" s="60"/>
      <c r="I36" s="18">
        <v>3</v>
      </c>
      <c r="J36" s="18">
        <v>7</v>
      </c>
      <c r="K36" s="18">
        <v>11</v>
      </c>
      <c r="L36" s="18">
        <v>15</v>
      </c>
      <c r="M36" s="18">
        <v>19</v>
      </c>
      <c r="N36" s="60"/>
    </row>
    <row r="37" spans="1:16" ht="15" thickBot="1" x14ac:dyDescent="0.35">
      <c r="A37" s="73">
        <v>4</v>
      </c>
      <c r="B37" s="24">
        <v>55</v>
      </c>
      <c r="C37" s="18">
        <v>86</v>
      </c>
      <c r="D37" s="18">
        <v>67</v>
      </c>
      <c r="E37" s="18">
        <v>51</v>
      </c>
      <c r="F37" s="77">
        <v>75</v>
      </c>
      <c r="G37" s="60"/>
      <c r="I37" s="80">
        <v>4</v>
      </c>
      <c r="J37" s="80">
        <v>8</v>
      </c>
      <c r="K37" s="80">
        <v>12</v>
      </c>
      <c r="L37" s="80">
        <v>16</v>
      </c>
      <c r="M37" s="80">
        <v>20</v>
      </c>
      <c r="N37" s="60"/>
    </row>
    <row r="38" spans="1:16" ht="15" thickBot="1" x14ac:dyDescent="0.35">
      <c r="A38" s="73" t="s">
        <v>34</v>
      </c>
      <c r="B38" s="9">
        <f>AVERAGE(B34:B37)</f>
        <v>59</v>
      </c>
      <c r="C38" s="1">
        <f t="shared" ref="C38:F38" si="13">AVERAGE(C34:C37)</f>
        <v>63</v>
      </c>
      <c r="D38" s="1">
        <f t="shared" si="13"/>
        <v>63.5</v>
      </c>
      <c r="E38" s="1">
        <f t="shared" si="13"/>
        <v>56.75</v>
      </c>
      <c r="F38" s="10">
        <f t="shared" si="13"/>
        <v>60.5</v>
      </c>
      <c r="I38" s="120" t="s">
        <v>38</v>
      </c>
      <c r="J38" s="121"/>
      <c r="K38" s="121"/>
      <c r="L38" s="121"/>
      <c r="M38" s="122"/>
      <c r="O38" s="81" t="s">
        <v>39</v>
      </c>
      <c r="P38" s="82" t="s">
        <v>40</v>
      </c>
    </row>
    <row r="39" spans="1:16" ht="30" customHeight="1" thickBot="1" x14ac:dyDescent="0.35">
      <c r="A39" s="74" t="s">
        <v>35</v>
      </c>
      <c r="B39" s="117">
        <f>AVERAGE(B38:F38)</f>
        <v>60.55</v>
      </c>
      <c r="C39" s="118"/>
      <c r="D39" s="118"/>
      <c r="E39" s="118"/>
      <c r="F39" s="119"/>
      <c r="G39" s="60"/>
      <c r="I39" s="85">
        <f t="shared" ref="I39:M42" si="14">B34/($B$42-(COUNTA($B$34:$F$37)-I34)*$B$41)</f>
        <v>1.0262616483117513</v>
      </c>
      <c r="J39" s="86">
        <f t="shared" si="14"/>
        <v>1.0470495317612547</v>
      </c>
      <c r="K39" s="86">
        <f t="shared" si="14"/>
        <v>1.1328331395963225</v>
      </c>
      <c r="L39" s="86">
        <f t="shared" si="14"/>
        <v>0.92219020172910671</v>
      </c>
      <c r="M39" s="87">
        <f t="shared" si="14"/>
        <v>0.97533527149957799</v>
      </c>
      <c r="O39" s="86">
        <f>AVERAGE(I39:M39)</f>
        <v>1.0207339585796027</v>
      </c>
      <c r="P39" s="87">
        <f>(O39/$O$43)*4</f>
        <v>1.0123505685126022</v>
      </c>
    </row>
    <row r="40" spans="1:16" ht="15" thickBot="1" x14ac:dyDescent="0.35">
      <c r="I40" s="88">
        <f t="shared" si="14"/>
        <v>1.6165458219422324</v>
      </c>
      <c r="J40" s="3">
        <f t="shared" si="14"/>
        <v>1.2959059136802398</v>
      </c>
      <c r="K40" s="3">
        <f t="shared" si="14"/>
        <v>0.64912098200353696</v>
      </c>
      <c r="L40" s="3">
        <f t="shared" si="14"/>
        <v>0.79898169000293751</v>
      </c>
      <c r="M40" s="11">
        <f t="shared" si="14"/>
        <v>0.82863220197909926</v>
      </c>
      <c r="O40" s="3">
        <f>AVERAGE(I40:M40)</f>
        <v>1.0378373219216093</v>
      </c>
      <c r="P40" s="11">
        <f t="shared" ref="P40:P42" si="15">(O40/$O$43)*4</f>
        <v>1.0293134602212821</v>
      </c>
    </row>
    <row r="41" spans="1:16" x14ac:dyDescent="0.3">
      <c r="A41" s="78" t="s">
        <v>37</v>
      </c>
      <c r="B41" s="30">
        <f>(F38-E38)/4</f>
        <v>0.9375</v>
      </c>
      <c r="I41" s="88">
        <f t="shared" si="14"/>
        <v>0.8034567324535794</v>
      </c>
      <c r="J41" s="3">
        <f t="shared" si="14"/>
        <v>0.611153552330023</v>
      </c>
      <c r="K41" s="3">
        <f t="shared" si="14"/>
        <v>1.3274608214688108</v>
      </c>
      <c r="L41" s="3">
        <f t="shared" si="14"/>
        <v>1.0344494837402296</v>
      </c>
      <c r="M41" s="11">
        <f t="shared" si="14"/>
        <v>0.6713490832801241</v>
      </c>
      <c r="O41" s="3">
        <f>AVERAGE(I41:M41)</f>
        <v>0.88957393465455348</v>
      </c>
      <c r="P41" s="11">
        <f t="shared" si="15"/>
        <v>0.88226777497899689</v>
      </c>
    </row>
    <row r="42" spans="1:16" ht="15" thickBot="1" x14ac:dyDescent="0.35">
      <c r="A42" s="79" t="s">
        <v>36</v>
      </c>
      <c r="B42" s="31">
        <f>B39+B41*((COUNTA(B34:F37)-1)/2)</f>
        <v>69.456249999999997</v>
      </c>
      <c r="I42" s="89">
        <f t="shared" si="14"/>
        <v>1.0099850797658672</v>
      </c>
      <c r="J42" s="13">
        <f t="shared" si="14"/>
        <v>1.4775045635133686</v>
      </c>
      <c r="K42" s="13">
        <f t="shared" si="14"/>
        <v>1.0814082517905781</v>
      </c>
      <c r="L42" s="13">
        <f t="shared" si="14"/>
        <v>0.77618187006563311</v>
      </c>
      <c r="M42" s="15">
        <f t="shared" si="14"/>
        <v>1.0798164312066949</v>
      </c>
      <c r="O42" s="13">
        <f>AVERAGE(I42:M42)</f>
        <v>1.0849792392684283</v>
      </c>
      <c r="P42" s="15">
        <f t="shared" si="15"/>
        <v>1.0760681962871192</v>
      </c>
    </row>
    <row r="43" spans="1:16" ht="15" thickBot="1" x14ac:dyDescent="0.35">
      <c r="O43" s="90">
        <f>SUM(O39:O42)</f>
        <v>4.0331244544241933</v>
      </c>
      <c r="P43" s="84">
        <f>SUM(P39:P42)</f>
        <v>4.0000000000000009</v>
      </c>
    </row>
  </sheetData>
  <mergeCells count="2">
    <mergeCell ref="B39:F39"/>
    <mergeCell ref="I38:M3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A5EE-7443-4430-B224-741612CBE950}">
  <dimension ref="A1:L27"/>
  <sheetViews>
    <sheetView tabSelected="1" zoomScale="71" workbookViewId="0">
      <selection activeCell="W11" sqref="W11"/>
    </sheetView>
  </sheetViews>
  <sheetFormatPr defaultRowHeight="14.4" x14ac:dyDescent="0.3"/>
  <cols>
    <col min="3" max="3" width="15.5546875" bestFit="1" customWidth="1"/>
    <col min="5" max="5" width="14.44140625" bestFit="1" customWidth="1"/>
    <col min="6" max="6" width="14.5546875" bestFit="1" customWidth="1"/>
    <col min="12" max="12" width="10.6640625" bestFit="1" customWidth="1"/>
  </cols>
  <sheetData>
    <row r="1" spans="1:12" ht="15" thickBot="1" x14ac:dyDescent="0.35">
      <c r="C1" s="78" t="s">
        <v>47</v>
      </c>
      <c r="D1" s="55" t="s">
        <v>44</v>
      </c>
      <c r="E1" s="55" t="s">
        <v>45</v>
      </c>
      <c r="F1" s="56" t="s">
        <v>46</v>
      </c>
    </row>
    <row r="2" spans="1:12" ht="15" thickBot="1" x14ac:dyDescent="0.35">
      <c r="A2" s="42" t="s">
        <v>8</v>
      </c>
      <c r="B2" s="94" t="s">
        <v>9</v>
      </c>
      <c r="C2" s="96" t="s">
        <v>7</v>
      </c>
      <c r="D2" s="95" t="str">
        <f>SES!C1</f>
        <v>Yhat_t</v>
      </c>
      <c r="E2" s="95" t="str">
        <f>HOLT!E1</f>
        <v>Yhat_t+m</v>
      </c>
      <c r="F2" s="97" t="str">
        <f>'H-WINTERS'!G2</f>
        <v>Yhat_t</v>
      </c>
      <c r="H2" s="103"/>
      <c r="I2" s="104" t="str">
        <f>MA!R2</f>
        <v>K=4</v>
      </c>
      <c r="J2" s="104" t="s">
        <v>44</v>
      </c>
      <c r="K2" s="104" t="s">
        <v>45</v>
      </c>
      <c r="L2" s="105" t="s">
        <v>46</v>
      </c>
    </row>
    <row r="3" spans="1:12" x14ac:dyDescent="0.3">
      <c r="A3" s="40">
        <v>0</v>
      </c>
      <c r="B3" s="100"/>
      <c r="C3" s="9"/>
      <c r="D3" s="1"/>
      <c r="E3" s="1"/>
      <c r="F3" s="10"/>
      <c r="H3" s="106" t="str">
        <f>MA!O3</f>
        <v>MSE</v>
      </c>
      <c r="I3" s="1">
        <f>MA!R3</f>
        <v>238.77734375</v>
      </c>
      <c r="J3" s="3">
        <f>SES!$F$2</f>
        <v>253.23316208308398</v>
      </c>
      <c r="K3" s="1">
        <f>HOLT!$I$2</f>
        <v>17.397148547188046</v>
      </c>
      <c r="L3" s="11">
        <f>'H-WINTERS'!$L$3</f>
        <v>25.316779560357915</v>
      </c>
    </row>
    <row r="4" spans="1:12" ht="15" thickBot="1" x14ac:dyDescent="0.35">
      <c r="A4" s="24">
        <v>1</v>
      </c>
      <c r="B4" s="77">
        <v>53</v>
      </c>
      <c r="C4" s="9"/>
      <c r="D4" s="1">
        <f>SES!C3</f>
        <v>53</v>
      </c>
      <c r="E4" s="1"/>
      <c r="F4" s="11">
        <f>'H-WINTERS'!G7</f>
        <v>68.253752862790634</v>
      </c>
      <c r="H4" s="107" t="str">
        <f>MA!O4</f>
        <v>RMSE</v>
      </c>
      <c r="I4" s="14">
        <f>MA!R4</f>
        <v>15.452421938000528</v>
      </c>
      <c r="J4" s="13">
        <f>SES!$G$2</f>
        <v>15.913301419978319</v>
      </c>
      <c r="K4" s="14">
        <f>HOLT!$J$2</f>
        <v>4.1709889171739647</v>
      </c>
      <c r="L4" s="15">
        <f>'H-WINTERS'!$M$3</f>
        <v>5.0315782375272589</v>
      </c>
    </row>
    <row r="5" spans="1:12" x14ac:dyDescent="0.3">
      <c r="A5" s="24">
        <v>2</v>
      </c>
      <c r="B5" s="77">
        <v>85</v>
      </c>
      <c r="C5" s="9"/>
      <c r="D5" s="1">
        <f>SES!C4</f>
        <v>53</v>
      </c>
      <c r="E5" s="3">
        <f>HOLT!E4</f>
        <v>93.769065491830517</v>
      </c>
      <c r="F5" s="11">
        <f>'H-WINTERS'!G8</f>
        <v>74.381187058557003</v>
      </c>
    </row>
    <row r="6" spans="1:12" x14ac:dyDescent="0.3">
      <c r="A6" s="24">
        <v>3</v>
      </c>
      <c r="B6" s="77">
        <v>43</v>
      </c>
      <c r="C6" s="9"/>
      <c r="D6" s="3">
        <f>SES!C5</f>
        <v>55.267740172071953</v>
      </c>
      <c r="E6" s="3">
        <f>HOLT!E5</f>
        <v>43.197731306269738</v>
      </c>
      <c r="F6" s="11">
        <f>'H-WINTERS'!G9</f>
        <v>60.396087633041567</v>
      </c>
    </row>
    <row r="7" spans="1:12" x14ac:dyDescent="0.3">
      <c r="A7" s="24">
        <v>4</v>
      </c>
      <c r="B7" s="77">
        <v>55</v>
      </c>
      <c r="C7" s="9"/>
      <c r="D7" s="3">
        <f>SES!C6</f>
        <v>54.398363696798562</v>
      </c>
      <c r="E7" s="3">
        <f>HOLT!E6</f>
        <v>49.958144330806356</v>
      </c>
      <c r="F7" s="11">
        <f>'H-WINTERS'!G10</f>
        <v>70.256369770295649</v>
      </c>
    </row>
    <row r="8" spans="1:12" x14ac:dyDescent="0.3">
      <c r="A8" s="24">
        <v>5</v>
      </c>
      <c r="B8" s="77">
        <v>58</v>
      </c>
      <c r="C8" s="9">
        <f>MA!E9</f>
        <v>59</v>
      </c>
      <c r="D8" s="3">
        <f>SES!C7</f>
        <v>54.440999784728149</v>
      </c>
      <c r="E8" s="3">
        <f>HOLT!E7</f>
        <v>57.131782538440007</v>
      </c>
      <c r="F8" s="11">
        <f>'H-WINTERS'!G11</f>
        <v>64.712880515997483</v>
      </c>
    </row>
    <row r="9" spans="1:12" x14ac:dyDescent="0.3">
      <c r="A9" s="24">
        <v>6</v>
      </c>
      <c r="B9" s="77">
        <v>73</v>
      </c>
      <c r="C9" s="9">
        <f>MA!E10</f>
        <v>60.25</v>
      </c>
      <c r="D9" s="3">
        <f>SES!C8</f>
        <v>54.693215027246424</v>
      </c>
      <c r="E9" s="3">
        <f>HOLT!E8</f>
        <v>77.822458607960243</v>
      </c>
      <c r="F9" s="11">
        <f>'H-WINTERS'!G12</f>
        <v>68.538487958427936</v>
      </c>
    </row>
    <row r="10" spans="1:12" x14ac:dyDescent="0.3">
      <c r="A10" s="24">
        <v>7</v>
      </c>
      <c r="B10" s="77">
        <v>35</v>
      </c>
      <c r="C10" s="9">
        <f>MA!E11</f>
        <v>57.25</v>
      </c>
      <c r="D10" s="3">
        <f>SES!C9</f>
        <v>55.990559768002562</v>
      </c>
      <c r="E10" s="3">
        <f>HOLT!E9</f>
        <v>30.736223545417616</v>
      </c>
      <c r="F10" s="11">
        <f>'H-WINTERS'!G13</f>
        <v>52.40412851421727</v>
      </c>
    </row>
    <row r="11" spans="1:12" x14ac:dyDescent="0.3">
      <c r="A11" s="24">
        <v>8</v>
      </c>
      <c r="B11" s="77">
        <v>86</v>
      </c>
      <c r="C11" s="9">
        <f>MA!E12</f>
        <v>55.25</v>
      </c>
      <c r="D11" s="3">
        <f>SES!C10</f>
        <v>54.503024279872044</v>
      </c>
      <c r="E11" s="3">
        <f>HOLT!E10</f>
        <v>89.732895088488874</v>
      </c>
      <c r="F11" s="11">
        <f>'H-WINTERS'!G14</f>
        <v>70.741308462447179</v>
      </c>
    </row>
    <row r="12" spans="1:12" x14ac:dyDescent="0.3">
      <c r="A12" s="24">
        <v>9</v>
      </c>
      <c r="B12" s="77">
        <v>67</v>
      </c>
      <c r="C12" s="9">
        <f>MA!E13</f>
        <v>63</v>
      </c>
      <c r="D12" s="3">
        <f>SES!C11</f>
        <v>56.735116690475451</v>
      </c>
      <c r="E12" s="3">
        <f>HOLT!E11</f>
        <v>73.727333095018594</v>
      </c>
      <c r="F12" s="11">
        <f>'H-WINTERS'!G15</f>
        <v>67.727845021027932</v>
      </c>
    </row>
    <row r="13" spans="1:12" x14ac:dyDescent="0.3">
      <c r="A13" s="24">
        <v>10</v>
      </c>
      <c r="B13" s="77">
        <v>39</v>
      </c>
      <c r="C13" s="9">
        <f>MA!E14</f>
        <v>65.25</v>
      </c>
      <c r="D13" s="3">
        <f>SES!C12</f>
        <v>57.462556948057937</v>
      </c>
      <c r="E13" s="3">
        <f>HOLT!E12</f>
        <v>32.416568280798046</v>
      </c>
      <c r="F13" s="11">
        <f>'H-WINTERS'!G16</f>
        <v>59.603524426402927</v>
      </c>
    </row>
    <row r="14" spans="1:12" x14ac:dyDescent="0.3">
      <c r="A14" s="24">
        <v>11</v>
      </c>
      <c r="B14" s="77">
        <v>81</v>
      </c>
      <c r="C14" s="9">
        <f>MA!E15</f>
        <v>56.75</v>
      </c>
      <c r="D14" s="3">
        <f>SES!C13</f>
        <v>56.15417313336178</v>
      </c>
      <c r="E14" s="3">
        <f>HOLT!E13</f>
        <v>81.933750263888911</v>
      </c>
      <c r="F14" s="11">
        <f>'H-WINTERS'!G17</f>
        <v>61.437228399840485</v>
      </c>
    </row>
    <row r="15" spans="1:12" x14ac:dyDescent="0.3">
      <c r="A15" s="24">
        <v>12</v>
      </c>
      <c r="B15" s="77">
        <v>67</v>
      </c>
      <c r="C15" s="9">
        <f>MA!E16</f>
        <v>68.25</v>
      </c>
      <c r="D15" s="3">
        <f>SES!C14</f>
        <v>57.914919373793651</v>
      </c>
      <c r="E15" s="3">
        <f>HOLT!E14</f>
        <v>71.950405606943434</v>
      </c>
      <c r="F15" s="11">
        <f>'H-WINTERS'!G18</f>
        <v>74.079700590701705</v>
      </c>
    </row>
    <row r="16" spans="1:12" x14ac:dyDescent="0.3">
      <c r="A16" s="24">
        <v>13</v>
      </c>
      <c r="B16" s="77">
        <v>58</v>
      </c>
      <c r="C16" s="9">
        <f>MA!E17</f>
        <v>63.5</v>
      </c>
      <c r="D16" s="3">
        <f>SES!C15</f>
        <v>58.558750695748671</v>
      </c>
      <c r="E16" s="3">
        <f>HOLT!E15</f>
        <v>56.634956287778941</v>
      </c>
      <c r="F16" s="11">
        <f>'H-WINTERS'!G19</f>
        <v>66.899581320962696</v>
      </c>
    </row>
    <row r="17" spans="1:6" x14ac:dyDescent="0.3">
      <c r="A17" s="24">
        <v>14</v>
      </c>
      <c r="B17" s="77">
        <v>51</v>
      </c>
      <c r="C17" s="9">
        <f>MA!E18</f>
        <v>61.25</v>
      </c>
      <c r="D17" s="3">
        <f>SES!C16</f>
        <v>58.519153777032351</v>
      </c>
      <c r="E17" s="3">
        <f>HOLT!E16</f>
        <v>45.762345791997191</v>
      </c>
      <c r="F17" s="11">
        <f>'H-WINTERS'!G20</f>
        <v>62.130388358636246</v>
      </c>
    </row>
    <row r="18" spans="1:6" x14ac:dyDescent="0.3">
      <c r="A18" s="24">
        <v>15</v>
      </c>
      <c r="B18" s="77">
        <v>67</v>
      </c>
      <c r="C18" s="9">
        <f>MA!E19</f>
        <v>64.25</v>
      </c>
      <c r="D18" s="3">
        <f>SES!C17</f>
        <v>57.98629480577727</v>
      </c>
      <c r="E18" s="3">
        <f>HOLT!E17</f>
        <v>66.641646642015232</v>
      </c>
      <c r="F18" s="11">
        <f>'H-WINTERS'!G21</f>
        <v>58.767474458558368</v>
      </c>
    </row>
    <row r="19" spans="1:6" x14ac:dyDescent="0.3">
      <c r="A19" s="24">
        <v>16</v>
      </c>
      <c r="B19" s="77">
        <v>51</v>
      </c>
      <c r="C19" s="9">
        <f>MA!E20</f>
        <v>60.75</v>
      </c>
      <c r="D19" s="3">
        <f>SES!C18</f>
        <v>58.625067973532033</v>
      </c>
      <c r="E19" s="3">
        <f>HOLT!E18</f>
        <v>49.900065095987628</v>
      </c>
      <c r="F19" s="11">
        <f>'H-WINTERS'!G22</f>
        <v>63.943785413141249</v>
      </c>
    </row>
    <row r="20" spans="1:6" x14ac:dyDescent="0.3">
      <c r="A20" s="24">
        <v>17</v>
      </c>
      <c r="B20" s="77">
        <v>65</v>
      </c>
      <c r="C20" s="9">
        <f>MA!E21</f>
        <v>56.75</v>
      </c>
      <c r="D20" s="3">
        <f>SES!C19</f>
        <v>58.084703193583351</v>
      </c>
      <c r="E20" s="3">
        <f>HOLT!E19</f>
        <v>65.427222250994362</v>
      </c>
      <c r="F20" s="11">
        <f>'H-WINTERS'!G23</f>
        <v>61.566707428435222</v>
      </c>
    </row>
    <row r="21" spans="1:6" x14ac:dyDescent="0.3">
      <c r="A21" s="24">
        <v>18</v>
      </c>
      <c r="B21" s="77">
        <v>56</v>
      </c>
      <c r="C21" s="9">
        <f>MA!E22</f>
        <v>58.5</v>
      </c>
      <c r="D21" s="3">
        <f>SES!C20</f>
        <v>58.574768705136847</v>
      </c>
      <c r="E21" s="3">
        <f>HOLT!E20</f>
        <v>56.364160812677248</v>
      </c>
      <c r="F21" s="11">
        <f>'H-WINTERS'!G24</f>
        <v>59.074709146393857</v>
      </c>
    </row>
    <row r="22" spans="1:6" x14ac:dyDescent="0.3">
      <c r="A22" s="24">
        <v>19</v>
      </c>
      <c r="B22" s="77">
        <v>46</v>
      </c>
      <c r="C22" s="9">
        <f>MA!E23</f>
        <v>59.75</v>
      </c>
      <c r="D22" s="3">
        <f>SES!C21</f>
        <v>58.392302879310833</v>
      </c>
      <c r="E22" s="3">
        <f>HOLT!E21</f>
        <v>41.950549718422941</v>
      </c>
      <c r="F22" s="11">
        <f>'H-WINTERS'!G25</f>
        <v>47.02698465364282</v>
      </c>
    </row>
    <row r="23" spans="1:6" x14ac:dyDescent="0.3">
      <c r="A23" s="24">
        <v>20</v>
      </c>
      <c r="B23" s="77">
        <v>75</v>
      </c>
      <c r="C23" s="9">
        <f>MA!E24</f>
        <v>54.5</v>
      </c>
      <c r="D23" s="3">
        <f>SES!C22</f>
        <v>57.514099033564079</v>
      </c>
      <c r="E23" s="3">
        <f>HOLT!E22</f>
        <v>78.277330340553874</v>
      </c>
      <c r="F23" s="11">
        <f>'H-WINTERS'!G26</f>
        <v>63.131834620838767</v>
      </c>
    </row>
    <row r="24" spans="1:6" x14ac:dyDescent="0.3">
      <c r="A24" s="92">
        <v>21</v>
      </c>
      <c r="B24" s="101"/>
      <c r="C24" s="123">
        <f>MA!E25</f>
        <v>60.5</v>
      </c>
      <c r="D24" s="63">
        <f>SES!C23</f>
        <v>58.753270285640909</v>
      </c>
      <c r="E24" s="63">
        <f>HOLT!E23</f>
        <v>78.277330340553874</v>
      </c>
      <c r="F24" s="98">
        <f>'H-WINTERS'!G27</f>
        <v>59.306018229320856</v>
      </c>
    </row>
    <row r="25" spans="1:6" x14ac:dyDescent="0.3">
      <c r="A25" s="92">
        <v>22</v>
      </c>
      <c r="B25" s="101"/>
      <c r="C25" s="123">
        <f>MA!E26</f>
        <v>59.375</v>
      </c>
      <c r="D25" s="63">
        <f>SES!C24</f>
        <v>59.904625336829888</v>
      </c>
      <c r="E25" s="63">
        <f>HOLT!E24</f>
        <v>87.07090331973609</v>
      </c>
      <c r="F25" s="98">
        <f>'H-WINTERS'!G28</f>
        <v>60.210711903829853</v>
      </c>
    </row>
    <row r="26" spans="1:6" x14ac:dyDescent="0.3">
      <c r="A26" s="92">
        <v>23</v>
      </c>
      <c r="B26" s="101"/>
      <c r="C26" s="123">
        <f>MA!E27</f>
        <v>60.21875</v>
      </c>
      <c r="D26" s="63">
        <f>SES!C25</f>
        <v>60.974387447334514</v>
      </c>
      <c r="E26" s="63">
        <f>HOLT!E25</f>
        <v>95.864476298918305</v>
      </c>
      <c r="F26" s="98">
        <f>'H-WINTERS'!G29</f>
        <v>51.532813234066865</v>
      </c>
    </row>
    <row r="27" spans="1:6" ht="15" thickBot="1" x14ac:dyDescent="0.35">
      <c r="A27" s="93">
        <v>24</v>
      </c>
      <c r="B27" s="102"/>
      <c r="C27" s="124">
        <f>MA!E28</f>
        <v>63.7734375</v>
      </c>
      <c r="D27" s="91">
        <f>SES!C26</f>
        <v>61.968338854321892</v>
      </c>
      <c r="E27" s="91">
        <f>HOLT!E26</f>
        <v>104.65804927810052</v>
      </c>
      <c r="F27" s="99">
        <f>'H-WINTERS'!G30</f>
        <v>62.759518517764562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1A1-24B2-4602-B30D-1C9FA755AB80}">
  <dimension ref="A1:E26"/>
  <sheetViews>
    <sheetView workbookViewId="0">
      <selection activeCell="D4" sqref="D4:E13"/>
    </sheetView>
  </sheetViews>
  <sheetFormatPr defaultRowHeight="14.4" x14ac:dyDescent="0.3"/>
  <cols>
    <col min="4" max="4" width="16.5546875" bestFit="1" customWidth="1"/>
    <col min="5" max="5" width="12.6640625" bestFit="1" customWidth="1"/>
  </cols>
  <sheetData>
    <row r="1" spans="1:5" x14ac:dyDescent="0.3">
      <c r="A1" s="20" t="s">
        <v>8</v>
      </c>
      <c r="B1" s="21" t="s">
        <v>9</v>
      </c>
    </row>
    <row r="2" spans="1:5" ht="15" thickBot="1" x14ac:dyDescent="0.35">
      <c r="A2" s="24">
        <v>0</v>
      </c>
      <c r="B2" s="18"/>
    </row>
    <row r="3" spans="1:5" x14ac:dyDescent="0.3">
      <c r="A3" s="24">
        <v>1</v>
      </c>
      <c r="B3" s="18">
        <v>53</v>
      </c>
      <c r="D3" s="108" t="s">
        <v>58</v>
      </c>
      <c r="E3" s="108"/>
    </row>
    <row r="4" spans="1:5" x14ac:dyDescent="0.3">
      <c r="A4" s="24">
        <v>2</v>
      </c>
      <c r="B4" s="18">
        <v>85</v>
      </c>
      <c r="D4" t="s">
        <v>48</v>
      </c>
      <c r="E4">
        <v>60.55</v>
      </c>
    </row>
    <row r="5" spans="1:5" x14ac:dyDescent="0.3">
      <c r="A5" s="24">
        <v>3</v>
      </c>
      <c r="B5" s="18">
        <v>43</v>
      </c>
      <c r="D5" t="s">
        <v>49</v>
      </c>
      <c r="E5">
        <v>3.2899168122581668</v>
      </c>
    </row>
    <row r="6" spans="1:5" x14ac:dyDescent="0.3">
      <c r="A6" s="24">
        <v>4</v>
      </c>
      <c r="B6" s="18">
        <v>55</v>
      </c>
      <c r="D6" t="s">
        <v>50</v>
      </c>
      <c r="E6">
        <v>58</v>
      </c>
    </row>
    <row r="7" spans="1:5" x14ac:dyDescent="0.3">
      <c r="A7" s="24">
        <v>5</v>
      </c>
      <c r="B7" s="18">
        <v>58</v>
      </c>
      <c r="D7" t="s">
        <v>51</v>
      </c>
      <c r="E7">
        <v>67</v>
      </c>
    </row>
    <row r="8" spans="1:5" x14ac:dyDescent="0.3">
      <c r="A8" s="24">
        <v>6</v>
      </c>
      <c r="B8" s="18">
        <v>73</v>
      </c>
      <c r="D8" t="s">
        <v>52</v>
      </c>
      <c r="E8">
        <v>14.712955265057349</v>
      </c>
    </row>
    <row r="9" spans="1:5" x14ac:dyDescent="0.3">
      <c r="A9" s="24">
        <v>7</v>
      </c>
      <c r="B9" s="18">
        <v>35</v>
      </c>
      <c r="D9" t="s">
        <v>53</v>
      </c>
      <c r="E9">
        <v>216.4710526315788</v>
      </c>
    </row>
    <row r="10" spans="1:5" x14ac:dyDescent="0.3">
      <c r="A10" s="24">
        <v>8</v>
      </c>
      <c r="B10" s="18">
        <v>86</v>
      </c>
      <c r="D10" t="s">
        <v>54</v>
      </c>
      <c r="E10">
        <v>51</v>
      </c>
    </row>
    <row r="11" spans="1:5" x14ac:dyDescent="0.3">
      <c r="A11" s="24">
        <v>9</v>
      </c>
      <c r="B11" s="18">
        <v>67</v>
      </c>
      <c r="D11" t="s">
        <v>55</v>
      </c>
      <c r="E11">
        <v>35</v>
      </c>
    </row>
    <row r="12" spans="1:5" x14ac:dyDescent="0.3">
      <c r="A12" s="24">
        <v>10</v>
      </c>
      <c r="B12" s="18">
        <v>39</v>
      </c>
      <c r="D12" t="s">
        <v>56</v>
      </c>
      <c r="E12">
        <v>86</v>
      </c>
    </row>
    <row r="13" spans="1:5" ht="15" thickBot="1" x14ac:dyDescent="0.35">
      <c r="A13" s="24">
        <v>11</v>
      </c>
      <c r="B13" s="18">
        <v>81</v>
      </c>
      <c r="D13" s="53" t="s">
        <v>57</v>
      </c>
      <c r="E13" s="53">
        <v>20</v>
      </c>
    </row>
    <row r="14" spans="1:5" x14ac:dyDescent="0.3">
      <c r="A14" s="24">
        <v>12</v>
      </c>
      <c r="B14" s="18">
        <v>67</v>
      </c>
    </row>
    <row r="15" spans="1:5" x14ac:dyDescent="0.3">
      <c r="A15" s="24">
        <v>13</v>
      </c>
      <c r="B15" s="18">
        <v>58</v>
      </c>
    </row>
    <row r="16" spans="1:5" x14ac:dyDescent="0.3">
      <c r="A16" s="24">
        <v>14</v>
      </c>
      <c r="B16" s="18">
        <v>51</v>
      </c>
    </row>
    <row r="17" spans="1:2" x14ac:dyDescent="0.3">
      <c r="A17" s="24">
        <v>15</v>
      </c>
      <c r="B17" s="18">
        <v>67</v>
      </c>
    </row>
    <row r="18" spans="1:2" x14ac:dyDescent="0.3">
      <c r="A18" s="24">
        <v>16</v>
      </c>
      <c r="B18" s="18">
        <v>51</v>
      </c>
    </row>
    <row r="19" spans="1:2" x14ac:dyDescent="0.3">
      <c r="A19" s="24">
        <v>17</v>
      </c>
      <c r="B19" s="18">
        <v>65</v>
      </c>
    </row>
    <row r="20" spans="1:2" x14ac:dyDescent="0.3">
      <c r="A20" s="24">
        <v>18</v>
      </c>
      <c r="B20" s="18">
        <v>56</v>
      </c>
    </row>
    <row r="21" spans="1:2" x14ac:dyDescent="0.3">
      <c r="A21" s="24">
        <v>19</v>
      </c>
      <c r="B21" s="18">
        <v>46</v>
      </c>
    </row>
    <row r="22" spans="1:2" x14ac:dyDescent="0.3">
      <c r="A22" s="24">
        <v>20</v>
      </c>
      <c r="B22" s="18">
        <v>75</v>
      </c>
    </row>
    <row r="23" spans="1:2" x14ac:dyDescent="0.3">
      <c r="A23" s="24">
        <v>21</v>
      </c>
      <c r="B23" s="1"/>
    </row>
    <row r="24" spans="1:2" x14ac:dyDescent="0.3">
      <c r="A24" s="24">
        <v>22</v>
      </c>
      <c r="B24" s="1"/>
    </row>
    <row r="25" spans="1:2" x14ac:dyDescent="0.3">
      <c r="A25" s="24">
        <v>23</v>
      </c>
      <c r="B25" s="1"/>
    </row>
    <row r="26" spans="1:2" ht="15" thickBot="1" x14ac:dyDescent="0.35">
      <c r="A26" s="26">
        <v>24</v>
      </c>
      <c r="B2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662BB82BF54E823D73EB11AD079B" ma:contentTypeVersion="9" ma:contentTypeDescription="Crear nuevo documento." ma:contentTypeScope="" ma:versionID="345e024d38e17f7a6a0b2045b8f6000e">
  <xsd:schema xmlns:xsd="http://www.w3.org/2001/XMLSchema" xmlns:xs="http://www.w3.org/2001/XMLSchema" xmlns:p="http://schemas.microsoft.com/office/2006/metadata/properties" xmlns:ns3="d6cbefb7-b048-4d56-aa3c-907f8445af97" xmlns:ns4="2d36e62a-2609-43dd-bca3-78268806800d" targetNamespace="http://schemas.microsoft.com/office/2006/metadata/properties" ma:root="true" ma:fieldsID="cbf5eb5be825864ae1e30404386a4fd9" ns3:_="" ns4:_="">
    <xsd:import namespace="d6cbefb7-b048-4d56-aa3c-907f8445af97"/>
    <xsd:import namespace="2d36e62a-2609-43dd-bca3-7826880680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befb7-b048-4d56-aa3c-907f8445a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6e62a-2609-43dd-bca3-7826880680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cbefb7-b048-4d56-aa3c-907f8445af97" xsi:nil="true"/>
  </documentManagement>
</p:properties>
</file>

<file path=customXml/itemProps1.xml><?xml version="1.0" encoding="utf-8"?>
<ds:datastoreItem xmlns:ds="http://schemas.openxmlformats.org/officeDocument/2006/customXml" ds:itemID="{2A4798AA-4F22-4D7D-A4E8-608E45D0B2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27B9E6-99C6-4FDA-B60A-79F81A17E6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befb7-b048-4d56-aa3c-907f8445af97"/>
    <ds:schemaRef ds:uri="2d36e62a-2609-43dd-bca3-7826880680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0345C0-0C4B-4B5D-881D-C9856B4B5A15}">
  <ds:schemaRefs>
    <ds:schemaRef ds:uri="http://schemas.microsoft.com/office/2006/metadata/properties"/>
    <ds:schemaRef ds:uri="http://www.w3.org/XML/1998/namespace"/>
    <ds:schemaRef ds:uri="d6cbefb7-b048-4d56-aa3c-907f8445af97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2d36e62a-2609-43dd-bca3-78268806800d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693cbea0-4ef9-4254-8977-76e05cb5f556}" enabled="0" method="" siteId="{693cbea0-4ef9-4254-8977-76e05cb5f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</vt:lpstr>
      <vt:lpstr>SES</vt:lpstr>
      <vt:lpstr>HOLT</vt:lpstr>
      <vt:lpstr>H-WINTERS</vt:lpstr>
      <vt:lpstr>COMPARACIÓN</vt:lpstr>
      <vt:lpstr>EDA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 Alexis Ospina Galindez</dc:creator>
  <cp:keywords/>
  <dc:description/>
  <cp:lastModifiedBy>ANNIE SOFIA CORREA DELGADO</cp:lastModifiedBy>
  <cp:revision/>
  <dcterms:created xsi:type="dcterms:W3CDTF">2025-11-05T20:02:56Z</dcterms:created>
  <dcterms:modified xsi:type="dcterms:W3CDTF">2025-11-19T04:53:34Z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0x0101002E12662BB82BF54E823D73EB11AD079B</vt:lpwstr>
  </property>
</Properties>
</file>